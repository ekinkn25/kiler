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 Dashboard" sheetId="1" state="visible" r:id="rId1"/>
    <sheet name="Sprint Plani" sheetId="2" state="visible" r:id="rId2"/>
    <sheet name="V2-V3 Backlog" sheetId="3" state="visible" r:id="rId3"/>
    <sheet name="Maliyet Analizi" sheetId="4" state="visible" r:id="rId4"/>
    <sheet name="Veri Kaynaklari" sheetId="5" state="visible" r:id="rId5"/>
    <sheet name="Veritabani Semasi" sheetId="6" state="visible" r:id="rId6"/>
    <sheet name="Rakip Analizi" sheetId="7" state="visible" r:id="rId7"/>
    <sheet name="Risk Yonetimi" sheetId="8" state="visible" r:id="rId8"/>
  </sheets>
  <definedNames>
    <definedName name="_xlnm._FilterDatabase" localSheetId="1" hidden="1">'Sprint Plani'!$A$3:$K$74</definedName>
    <definedName name="_xlnm._FilterDatabase" localSheetId="2" hidden="1">'V2-V3 Backlog'!$A$3:$H$15</definedName>
    <definedName name="_xlnm._FilterDatabase" localSheetId="5" hidden="1">'Veritabani Semasi'!$A$3:$E$45</definedName>
    <definedName name="_xlnm._FilterDatabase" localSheetId="7" hidden="1">'Risk Yonetimi'!$A$3:$E$15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$#,##0.00;($#,##0.00);-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546A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F7F7F"/>
      <sz val="9"/>
    </font>
    <font>
      <name val="Arial"/>
      <b val="1"/>
      <color rgb="001F3864"/>
      <sz val="11"/>
    </font>
    <font>
      <name val="Arial"/>
      <sz val="9"/>
    </font>
    <font>
      <name val="Arial"/>
      <color rgb="0044546A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C8A"/>
      </patternFill>
    </fill>
    <fill>
      <patternFill patternType="solid">
        <fgColor rgb="00F2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66" fontId="4" fillId="0" borderId="1" applyAlignment="1" pivotButton="0" quotePrefix="0" xfId="0">
      <alignment horizontal="center" vertical="top" wrapText="1"/>
    </xf>
    <xf numFmtId="166" fontId="4" fillId="5" borderId="1" applyAlignment="1" pivotButton="0" quotePrefix="0" xfId="0">
      <alignment horizontal="center" vertical="top" wrapText="1"/>
    </xf>
    <xf numFmtId="166" fontId="5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6" fontId="5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name val="Arial"/>
        <b val="1"/>
        <color rgb="009C0006"/>
        <sz val="10"/>
      </font>
      <fill>
        <patternFill patternType="solid">
          <bgColor rgb="00FFC7CE"/>
        </patternFill>
      </fill>
    </dxf>
    <dxf>
      <font>
        <name val="Arial"/>
        <color rgb="009C6500"/>
        <sz val="10"/>
      </font>
      <fill>
        <patternFill patternType="solid">
          <bgColor rgb="00FFEB9C"/>
        </patternFill>
      </fill>
    </dxf>
    <dxf>
      <font>
        <name val="Arial"/>
        <color rgb="00006100"/>
        <sz val="10"/>
      </font>
      <fill>
        <patternFill patternType="solid">
          <bgColor rgb="00C6EFCE"/>
        </patternFill>
      </fill>
    </dxf>
    <dxf>
      <font>
        <name val="Arial"/>
        <color rgb="009C0006"/>
        <sz val="10"/>
      </font>
      <fill>
        <patternFill patternType="solid">
          <bgColor rgb="00FFC7CE"/>
        </patternFill>
      </fill>
    </dxf>
    <dxf>
      <font>
        <name val="Arial"/>
        <color rgb="007F6000"/>
        <sz val="10"/>
      </font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Plan</author>
  </authors>
  <commentList>
    <comment ref="H3" authorId="0" shapeId="0">
      <text>
        <t>Sure tahminleri PDF'teki 20 gunluk plan taban alinarak atomik gorev seviyesinde detaylandirilmistir. Varsayim: gunde 8 saat, tek gelistirici, React Native/FastAPI/SQL bilgisi mevcut.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 ht="30" customHeight="1">
      <c r="A1" s="1" t="inlineStr">
        <is>
          <t>OZET DASHBOARD  |  Ilerleme ve Efor Takibi</t>
        </is>
      </c>
    </row>
    <row r="2" ht="20" customHeight="1">
      <c r="A2" s="2" t="inlineStr">
        <is>
          <t>Bu sayfadaki tum degerler 'Sprint Plani' sayfasindan formullerle otomatik hesaplanir. Elle deger girmeyin.</t>
        </is>
      </c>
    </row>
    <row r="4">
      <c r="A4" s="3" t="inlineStr">
        <is>
          <t>PROJE KUNYESI</t>
        </is>
      </c>
    </row>
    <row r="5" ht="17" customHeight="1">
      <c r="A5" s="4" t="inlineStr">
        <is>
          <t>Proje Adı</t>
        </is>
      </c>
      <c r="B5" s="5" t="inlineStr">
        <is>
          <t>Kalori Sayacı + Akıllı Kiler Asistanı (Mobil Uygulama)</t>
        </is>
      </c>
      <c r="C5" s="6" t="n"/>
      <c r="D5" s="6" t="n"/>
      <c r="E5" s="6" t="n"/>
      <c r="F5" s="6" t="n"/>
    </row>
    <row r="6" ht="17" customHeight="1">
      <c r="A6" s="4" t="inlineStr">
        <is>
          <t>Süre</t>
        </is>
      </c>
      <c r="B6" s="5" t="inlineStr">
        <is>
          <t>20 iş günü (4 hafta) - Staj MVP</t>
        </is>
      </c>
      <c r="C6" s="6" t="n"/>
      <c r="D6" s="6" t="n"/>
      <c r="E6" s="6" t="n"/>
      <c r="F6" s="6" t="n"/>
    </row>
    <row r="7" ht="17" customHeight="1">
      <c r="A7" s="4" t="inlineStr">
        <is>
          <t>Ekip</t>
        </is>
      </c>
      <c r="B7" s="5" t="inlineStr">
        <is>
          <t>1 geliştirici (full-stack)</t>
        </is>
      </c>
      <c r="C7" s="6" t="n"/>
      <c r="D7" s="6" t="n"/>
      <c r="E7" s="6" t="n"/>
      <c r="F7" s="6" t="n"/>
    </row>
    <row r="8" ht="17" customHeight="1">
      <c r="A8" s="4" t="inlineStr">
        <is>
          <t>Mobil</t>
        </is>
      </c>
      <c r="B8" s="5" t="inlineStr">
        <is>
          <t>React Native + TypeScript + Expo Dev Client</t>
        </is>
      </c>
      <c r="C8" s="6" t="n"/>
      <c r="D8" s="6" t="n"/>
      <c r="E8" s="6" t="n"/>
      <c r="F8" s="6" t="n"/>
    </row>
    <row r="9" ht="17" customHeight="1">
      <c r="A9" s="4" t="inlineStr">
        <is>
          <t>Backend</t>
        </is>
      </c>
      <c r="B9" s="5" t="inlineStr">
        <is>
          <t>Python / FastAPI (katmanlı mimari, JWT auth)</t>
        </is>
      </c>
      <c r="C9" s="6" t="n"/>
      <c r="D9" s="6" t="n"/>
      <c r="E9" s="6" t="n"/>
      <c r="F9" s="6" t="n"/>
    </row>
    <row r="10" ht="17" customHeight="1">
      <c r="A10" s="4" t="inlineStr">
        <is>
          <t>Veritabanı</t>
        </is>
      </c>
      <c r="B10" s="5" t="inlineStr">
        <is>
          <t>SQLite (kullanıcı, kiler, kalori, liste) + MongoDB Atlas M0 (tarifler)</t>
        </is>
      </c>
      <c r="C10" s="6" t="n"/>
      <c r="D10" s="6" t="n"/>
      <c r="E10" s="6" t="n"/>
      <c r="F10" s="6" t="n"/>
    </row>
    <row r="11" ht="17" customHeight="1">
      <c r="A11" s="4" t="inlineStr">
        <is>
          <t>Yapay Zeka</t>
        </is>
      </c>
      <c r="B11" s="5" t="inlineStr">
        <is>
          <t>Groq üzerinde LLaMA 3 + RAG mimarisi + yanıt önbelleği</t>
        </is>
      </c>
      <c r="C11" s="6" t="n"/>
      <c r="D11" s="6" t="n"/>
      <c r="E11" s="6" t="n"/>
      <c r="F11" s="6" t="n"/>
    </row>
    <row r="12" ht="17" customHeight="1">
      <c r="A12" s="4" t="inlineStr">
        <is>
          <t>Cihaz Üstü AI</t>
        </is>
      </c>
      <c r="B12" s="5" t="inlineStr">
        <is>
          <t>Google ML Kit - barkod okuma (ücretsiz, offline)</t>
        </is>
      </c>
      <c r="C12" s="6" t="n"/>
      <c r="D12" s="6" t="n"/>
      <c r="E12" s="6" t="n"/>
      <c r="F12" s="6" t="n"/>
    </row>
    <row r="13" ht="17" customHeight="1">
      <c r="A13" s="4" t="inlineStr">
        <is>
          <t>Dış Veri</t>
        </is>
      </c>
      <c r="B13" s="5" t="inlineStr">
        <is>
          <t>Open Food Facts (barkod + besin değeri), Kaggle tarif veri setleri</t>
        </is>
      </c>
      <c r="C13" s="6" t="n"/>
      <c r="D13" s="6" t="n"/>
      <c r="E13" s="6" t="n"/>
      <c r="F13" s="6" t="n"/>
    </row>
    <row r="14" ht="17" customHeight="1">
      <c r="A14" s="4" t="inlineStr">
        <is>
          <t>MVP Kapsam Dışı</t>
        </is>
      </c>
      <c r="B14" s="5" t="inlineStr">
        <is>
          <t>Fiş OCR okuma (V3), kameradan görsel obje tanıma (V3), sosyal ağ (V3)</t>
        </is>
      </c>
      <c r="C14" s="6" t="n"/>
      <c r="D14" s="6" t="n"/>
      <c r="E14" s="6" t="n"/>
      <c r="F14" s="6" t="n"/>
    </row>
    <row r="16">
      <c r="A16" s="3" t="inlineStr">
        <is>
          <t>HAFTALIK EFOR DAGILIMI</t>
        </is>
      </c>
    </row>
    <row r="17" ht="24" customHeight="1">
      <c r="A17" s="7" t="inlineStr">
        <is>
          <t>Hafta</t>
        </is>
      </c>
      <c r="B17" s="7" t="inlineStr">
        <is>
          <t>Görev Sayısı</t>
        </is>
      </c>
      <c r="C17" s="7" t="inlineStr">
        <is>
          <t>Toplam Saat</t>
        </is>
      </c>
      <c r="D17" s="7" t="inlineStr">
        <is>
          <t>Tamamlanan Saat</t>
        </is>
      </c>
      <c r="E17" s="7" t="inlineStr">
        <is>
          <t>İlerleme %</t>
        </is>
      </c>
      <c r="F17" s="7" t="inlineStr">
        <is>
          <t>Odak</t>
        </is>
      </c>
    </row>
    <row r="18" ht="26" customHeight="1">
      <c r="A18" s="8" t="inlineStr">
        <is>
          <t>Hafta 1</t>
        </is>
      </c>
      <c r="B18" s="9">
        <f>COUNTIF('Sprint Plani'!$A$4:$A$74,$A18)</f>
        <v/>
      </c>
      <c r="C18" s="10">
        <f>SUMIF('Sprint Plani'!$A$4:$A$74,$A18,'Sprint Plani'!$H$4:$H$74)</f>
        <v/>
      </c>
      <c r="D18" s="10">
        <f>SUMIFS('Sprint Plani'!$H$4:$H$74,'Sprint Plani'!$A$4:$A$74,$A18,'Sprint Plani'!$K$4:$K$74,"Tamamlandı")</f>
        <v/>
      </c>
      <c r="E18" s="11">
        <f>IFERROR($D18/$C18,0)</f>
        <v/>
      </c>
      <c r="F18" s="12" t="inlineStr">
        <is>
          <t>Temel mimari, veritabanı tasarımı, auth, onboarding, tarif seed verisi</t>
        </is>
      </c>
    </row>
    <row r="19" ht="26" customHeight="1">
      <c r="A19" s="8" t="inlineStr">
        <is>
          <t>Hafta 2</t>
        </is>
      </c>
      <c r="B19" s="9">
        <f>COUNTIF('Sprint Plani'!$A$4:$A$74,$A19)</f>
        <v/>
      </c>
      <c r="C19" s="10">
        <f>SUMIF('Sprint Plani'!$A$4:$A$74,$A19,'Sprint Plani'!$H$4:$H$74)</f>
        <v/>
      </c>
      <c r="D19" s="10">
        <f>SUMIFS('Sprint Plani'!$H$4:$H$74,'Sprint Plani'!$A$4:$A$74,$A19,'Sprint Plani'!$K$4:$K$74,"Tamamlandı")</f>
        <v/>
      </c>
      <c r="E19" s="11">
        <f>IFERROR($D19/$C19,0)</f>
        <v/>
      </c>
      <c r="F19" s="12" t="inlineStr">
        <is>
          <t>Kiler CRUD, barkod okuma (ML Kit), Open Food Facts, kalori sayacı, eşik mantığı</t>
        </is>
      </c>
    </row>
    <row r="20" ht="26" customHeight="1">
      <c r="A20" s="8" t="inlineStr">
        <is>
          <t>Hafta 3</t>
        </is>
      </c>
      <c r="B20" s="9">
        <f>COUNTIF('Sprint Plani'!$A$4:$A$74,$A20)</f>
        <v/>
      </c>
      <c r="C20" s="10">
        <f>SUMIF('Sprint Plani'!$A$4:$A$74,$A20,'Sprint Plani'!$H$4:$H$74)</f>
        <v/>
      </c>
      <c r="D20" s="10">
        <f>SUMIFS('Sprint Plani'!$H$4:$H$74,'Sprint Plani'!$A$4:$A$74,$A20,'Sprint Plani'!$K$4:$K$74,"Tamamlandı")</f>
        <v/>
      </c>
      <c r="E20" s="11">
        <f>IFERROR($D20/$C20,0)</f>
        <v/>
      </c>
      <c r="F20" s="12" t="inlineStr">
        <is>
          <t>Tarif eşleştirme algoritması, ağırlıklı öneri skoru, RAG chatbot, öğrenen profil</t>
        </is>
      </c>
    </row>
    <row r="21" ht="26" customHeight="1">
      <c r="A21" s="8" t="inlineStr">
        <is>
          <t>Hafta 4</t>
        </is>
      </c>
      <c r="B21" s="9">
        <f>COUNTIF('Sprint Plani'!$A$4:$A$74,$A21)</f>
        <v/>
      </c>
      <c r="C21" s="10">
        <f>SUMIF('Sprint Plani'!$A$4:$A$74,$A21,'Sprint Plani'!$H$4:$H$74)</f>
        <v/>
      </c>
      <c r="D21" s="10">
        <f>SUMIFS('Sprint Plani'!$H$4:$H$74,'Sprint Plani'!$A$4:$A$74,$A21,'Sprint Plani'!$K$4:$K$74,"Tamamlandı")</f>
        <v/>
      </c>
      <c r="E21" s="11">
        <f>IFERROR($D21/$C21,0)</f>
        <v/>
      </c>
      <c r="F21" s="12" t="inlineStr">
        <is>
          <t>Yeşil/kırmızı/gri malzeme kartları, stok düşümü, alışveriş listesi, test, teslim</t>
        </is>
      </c>
    </row>
    <row r="22">
      <c r="A22" s="13" t="inlineStr">
        <is>
          <t>TOPLAM</t>
        </is>
      </c>
      <c r="B22" s="13">
        <f>SUM(B18:B21)</f>
        <v/>
      </c>
      <c r="C22" s="14">
        <f>SUM(C18:C21)</f>
        <v/>
      </c>
      <c r="D22" s="14">
        <f>SUM(D18:D21)</f>
        <v/>
      </c>
      <c r="E22" s="15">
        <f>IFERROR(D22/C22,0)</f>
        <v/>
      </c>
      <c r="F22" s="16" t="inlineStr">
        <is>
          <t>20 iş günü x 8 saat = 160 saat kapasite (tampon dahil)</t>
        </is>
      </c>
    </row>
    <row r="24">
      <c r="A24" s="3" t="inlineStr">
        <is>
          <t>DURUM VE ONCELIK DAGILIMI</t>
        </is>
      </c>
    </row>
    <row r="25" ht="22" customHeight="1">
      <c r="A25" s="7" t="inlineStr">
        <is>
          <t>Kategori</t>
        </is>
      </c>
      <c r="B25" s="7" t="inlineStr">
        <is>
          <t>Değer</t>
        </is>
      </c>
      <c r="C25" s="7" t="inlineStr">
        <is>
          <t>Adet</t>
        </is>
      </c>
      <c r="D25" s="7" t="inlineStr">
        <is>
          <t>Saat</t>
        </is>
      </c>
      <c r="E25" s="7" t="inlineStr"/>
      <c r="F25" s="7" t="inlineStr">
        <is>
          <t>Açıklama</t>
        </is>
      </c>
    </row>
    <row r="26" ht="17" customHeight="1">
      <c r="A26" s="17" t="inlineStr">
        <is>
          <t>Durum</t>
        </is>
      </c>
      <c r="B26" s="18" t="inlineStr">
        <is>
          <t>Yapılacak</t>
        </is>
      </c>
      <c r="C26" s="18">
        <f>COUNTIF('Sprint Plani'!$K$4:$K$74,$B26)</f>
        <v/>
      </c>
      <c r="D26" s="19">
        <f>SUMIF('Sprint Plani'!$K$4:$K$74,$B26,'Sprint Plani'!$H$4:$H$74)</f>
        <v/>
      </c>
      <c r="E26" s="18" t="n"/>
      <c r="F26" s="20" t="inlineStr">
        <is>
          <t>Henüz başlanmamış görevler</t>
        </is>
      </c>
    </row>
    <row r="27" ht="17" customHeight="1">
      <c r="A27" s="17" t="inlineStr">
        <is>
          <t>Durum</t>
        </is>
      </c>
      <c r="B27" s="18" t="inlineStr">
        <is>
          <t>Devam Ediyor</t>
        </is>
      </c>
      <c r="C27" s="18">
        <f>COUNTIF('Sprint Plani'!$K$4:$K$74,$B27)</f>
        <v/>
      </c>
      <c r="D27" s="19">
        <f>SUMIF('Sprint Plani'!$K$4:$K$74,$B27,'Sprint Plani'!$H$4:$H$74)</f>
        <v/>
      </c>
      <c r="E27" s="18" t="n"/>
      <c r="F27" s="20" t="inlineStr">
        <is>
          <t>Üzerinde çalışılan görevler</t>
        </is>
      </c>
    </row>
    <row r="28" ht="17" customHeight="1">
      <c r="A28" s="17" t="inlineStr">
        <is>
          <t>Durum</t>
        </is>
      </c>
      <c r="B28" s="18" t="inlineStr">
        <is>
          <t>Tamamlandı</t>
        </is>
      </c>
      <c r="C28" s="18">
        <f>COUNTIF('Sprint Plani'!$K$4:$K$74,$B28)</f>
        <v/>
      </c>
      <c r="D28" s="19">
        <f>SUMIF('Sprint Plani'!$K$4:$K$74,$B28,'Sprint Plani'!$H$4:$H$74)</f>
        <v/>
      </c>
      <c r="E28" s="18" t="n"/>
      <c r="F28" s="20" t="inlineStr">
        <is>
          <t>Kabul kriteri karşılanmış görevler</t>
        </is>
      </c>
    </row>
    <row r="29" ht="17" customHeight="1">
      <c r="A29" s="17" t="inlineStr">
        <is>
          <t>Durum</t>
        </is>
      </c>
      <c r="B29" s="18" t="inlineStr">
        <is>
          <t>Bloke</t>
        </is>
      </c>
      <c r="C29" s="18">
        <f>COUNTIF('Sprint Plani'!$K$4:$K$74,$B29)</f>
        <v/>
      </c>
      <c r="D29" s="19">
        <f>SUMIF('Sprint Plani'!$K$4:$K$74,$B29,'Sprint Plani'!$H$4:$H$74)</f>
        <v/>
      </c>
      <c r="E29" s="18" t="n"/>
      <c r="F29" s="20" t="inlineStr">
        <is>
          <t>Dış bağımlılık veya hata nedeniyle duran görevler</t>
        </is>
      </c>
    </row>
    <row r="30" ht="17" customHeight="1">
      <c r="A30" s="17" t="inlineStr">
        <is>
          <t>Öncelik</t>
        </is>
      </c>
      <c r="B30" s="18" t="inlineStr">
        <is>
          <t>Kritik</t>
        </is>
      </c>
      <c r="C30" s="18">
        <f>COUNTIF('Sprint Plani'!$I$4:$I$74,$B30)</f>
        <v/>
      </c>
      <c r="D30" s="19">
        <f>SUMIF('Sprint Plani'!$I$4:$I$74,$B30,'Sprint Plani'!$H$4:$H$74)</f>
        <v/>
      </c>
      <c r="E30" s="18" t="n"/>
      <c r="F30" s="20" t="inlineStr">
        <is>
          <t>MVP'nin çalışması için zorunlu - asla ertelenmez</t>
        </is>
      </c>
    </row>
    <row r="31" ht="17" customHeight="1">
      <c r="A31" s="17" t="inlineStr">
        <is>
          <t>Öncelik</t>
        </is>
      </c>
      <c r="B31" s="18" t="inlineStr">
        <is>
          <t>Yüksek</t>
        </is>
      </c>
      <c r="C31" s="18">
        <f>COUNTIF('Sprint Plani'!$I$4:$I$74,$B31)</f>
        <v/>
      </c>
      <c r="D31" s="19">
        <f>SUMIF('Sprint Plani'!$I$4:$I$74,$B31,'Sprint Plani'!$H$4:$H$74)</f>
        <v/>
      </c>
      <c r="E31" s="18" t="n"/>
      <c r="F31" s="20" t="inlineStr">
        <is>
          <t>Ürün değerini belirgin artıran görevler</t>
        </is>
      </c>
    </row>
    <row r="32" ht="17" customHeight="1">
      <c r="A32" s="17" t="inlineStr">
        <is>
          <t>Öncelik</t>
        </is>
      </c>
      <c r="B32" s="18" t="inlineStr">
        <is>
          <t>Orta</t>
        </is>
      </c>
      <c r="C32" s="18">
        <f>COUNTIF('Sprint Plani'!$I$4:$I$74,$B32)</f>
        <v/>
      </c>
      <c r="D32" s="19">
        <f>SUMIF('Sprint Plani'!$I$4:$I$74,$B32,'Sprint Plani'!$H$4:$H$74)</f>
        <v/>
      </c>
      <c r="E32" s="18" t="n"/>
      <c r="F32" s="20" t="inlineStr">
        <is>
          <t>Kalite ve deneyim iyileştirmeleri</t>
        </is>
      </c>
    </row>
    <row r="33" ht="17" customHeight="1">
      <c r="A33" s="17" t="inlineStr">
        <is>
          <t>Öncelik</t>
        </is>
      </c>
      <c r="B33" s="18" t="inlineStr">
        <is>
          <t>Düşük</t>
        </is>
      </c>
      <c r="C33" s="18">
        <f>COUNTIF('Sprint Plani'!$I$4:$I$74,$B33)</f>
        <v/>
      </c>
      <c r="D33" s="19">
        <f>SUMIF('Sprint Plani'!$I$4:$I$74,$B33,'Sprint Plani'!$H$4:$H$74)</f>
        <v/>
      </c>
      <c r="E33" s="18" t="n"/>
      <c r="F33" s="20" t="inlineStr">
        <is>
          <t>Zaman kalırsa yapılacak bonus görevler</t>
        </is>
      </c>
    </row>
    <row r="35">
      <c r="A35" s="3" t="inlineStr">
        <is>
          <t>KULLANIM KILAVUZU (LEGEND)</t>
        </is>
      </c>
    </row>
    <row r="36" ht="15" customHeight="1">
      <c r="A36" s="21" t="inlineStr">
        <is>
          <t>1) Elle doldurulacak TEK alan: 'Sprint Plani' sayfasindaki K sutunu (Durum). Acilir listeden secim yapin.</t>
        </is>
      </c>
    </row>
    <row r="37" ht="15" customHeight="1">
      <c r="A37" s="21" t="inlineStr">
        <is>
          <t xml:space="preserve">   Ornek: K4 hucresi -&gt; 'Tamamlandi' secildiginde bu sayfadaki ilerleme yuzdeleri otomatik guncellenir.</t>
        </is>
      </c>
    </row>
    <row r="38" ht="15" customHeight="1">
      <c r="A38" s="21" t="inlineStr">
        <is>
          <t>2) Diger tum sutunlar ve bu sayfadaki hesaplamalar formullerle baglidir; degistirmeyin.</t>
        </is>
      </c>
    </row>
    <row r="39" ht="15" customHeight="1">
      <c r="A39" s="21" t="inlineStr">
        <is>
          <t>3) Renk kodlari: Kirmizi = Kritik oncelik / Bloke, Sari = Yuksek oncelik / Devam Ediyor, Yesil = Tamamlandi.</t>
        </is>
      </c>
    </row>
    <row r="40" ht="15" customHeight="1">
      <c r="A40" s="21" t="inlineStr">
        <is>
          <t>4) 'Sprint Plani' sayfasinda 3. satirdaki filtre oklarindan haftaya, module veya oncelige gore suzebilirsiniz.</t>
        </is>
      </c>
    </row>
    <row r="41" ht="15" customHeight="1">
      <c r="A41" s="21" t="inlineStr">
        <is>
          <t>5) Kaynak: 'Kalori Sayaci Uygulama Projesi Detaylari.pdf' icindeki 20 gunluk plan, atomik gorev seviyesinde detaylandirilmistir.</t>
        </is>
      </c>
    </row>
  </sheetData>
  <mergeCells count="18">
    <mergeCell ref="A38:F38"/>
    <mergeCell ref="A2:F2"/>
    <mergeCell ref="A41:F41"/>
    <mergeCell ref="B12:F12"/>
    <mergeCell ref="B7:F7"/>
    <mergeCell ref="B6:F6"/>
    <mergeCell ref="A36:F36"/>
    <mergeCell ref="B10:F10"/>
    <mergeCell ref="A1:F1"/>
    <mergeCell ref="B11:F11"/>
    <mergeCell ref="A37:F37"/>
    <mergeCell ref="B5:F5"/>
    <mergeCell ref="B14:F14"/>
    <mergeCell ref="A40:F40"/>
    <mergeCell ref="B8:F8"/>
    <mergeCell ref="A39:F39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7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7" customWidth="1" min="4" max="4"/>
    <col width="30" customWidth="1" min="5" max="5"/>
    <col width="66" customWidth="1" min="6" max="6"/>
    <col width="40" customWidth="1" min="7" max="7"/>
    <col width="9" customWidth="1" min="8" max="8"/>
    <col width="10" customWidth="1" min="9" max="9"/>
    <col width="11" customWidth="1" min="10" max="10"/>
    <col width="14" customWidth="1" min="11" max="11"/>
  </cols>
  <sheetData>
    <row r="1" ht="30" customHeight="1">
      <c r="A1" s="1" t="inlineStr">
        <is>
          <t>KALORI SAYACI + AKILLI KILER UYGULAMASI  |  20 IS GUNLUK STAJ MVP SPRINT PLANI</t>
        </is>
      </c>
    </row>
    <row r="2" ht="20" customHeight="1">
      <c r="A2" s="2" t="inlineStr">
        <is>
          <t>Kapsam: Barkod okuma - Kiler yonetimi - Kalori sayaci - Kural tabanli tarif onerisi - RAG chatbot - Alisveris listesi  ||  Kapsam disi (V2/V3): Fis OCR ve gorsel obje tanima  ||  Yigin: React Native (TS) + FastAPI + SQLite + MongoDB + Google ML Kit + Open Food Facts + Groq/LLaMA 3</t>
        </is>
      </c>
    </row>
    <row r="3" ht="32" customHeight="1">
      <c r="A3" s="7" t="inlineStr">
        <is>
          <t>Hafta</t>
        </is>
      </c>
      <c r="B3" s="7" t="inlineStr">
        <is>
          <t>Gün</t>
        </is>
      </c>
      <c r="C3" s="7" t="inlineStr">
        <is>
          <t>Görev Kodu</t>
        </is>
      </c>
      <c r="D3" s="7" t="inlineStr">
        <is>
          <t>Modül</t>
        </is>
      </c>
      <c r="E3" s="7" t="inlineStr">
        <is>
          <t>Atomik Görev Adı</t>
        </is>
      </c>
      <c r="F3" s="7" t="inlineStr">
        <is>
          <t>Nasıl Yapılacak / Kullanılacak Teknolojiler</t>
        </is>
      </c>
      <c r="G3" s="7" t="inlineStr">
        <is>
          <t>Kabul Kriteri (Definition of Done)</t>
        </is>
      </c>
      <c r="H3" s="7" t="inlineStr">
        <is>
          <t>Tahmini Süre (Saat)</t>
        </is>
      </c>
      <c r="I3" s="7" t="inlineStr">
        <is>
          <t>Öncelik</t>
        </is>
      </c>
      <c r="J3" s="7" t="inlineStr">
        <is>
          <t>Bağımlılık</t>
        </is>
      </c>
      <c r="K3" s="7" t="inlineStr">
        <is>
          <t>Durum</t>
        </is>
      </c>
    </row>
    <row r="4" ht="67" customHeight="1">
      <c r="A4" s="22" t="inlineStr">
        <is>
          <t>Hafta 1</t>
        </is>
      </c>
      <c r="B4" s="22" t="inlineStr">
        <is>
          <t>Gün 1</t>
        </is>
      </c>
      <c r="C4" s="22" t="inlineStr">
        <is>
          <t>W1-T01</t>
        </is>
      </c>
      <c r="D4" s="23" t="inlineStr">
        <is>
          <t>Kurulum &amp; DevOps</t>
        </is>
      </c>
      <c r="E4" s="23" t="inlineStr">
        <is>
          <t>Proje Reposu ve Klasör Mimarisinin Kurulması</t>
        </is>
      </c>
      <c r="F4" s="23" t="inlineStr">
        <is>
          <t>GitHub'da private repo açılır. Monorepo yapısı kurulur: /backend (FastAPI), /mobile (React Native), /docs (diyagramlar), /data (seed JSON). Python + Node için .gitignore, README taslağı eklenir. Branch stratejisi: main (korumalı) + develop + feature/* . Conventional Commits kuralı belirlenir.</t>
        </is>
      </c>
      <c r="G4" s="23" t="inlineStr">
        <is>
          <t>Repoya ilk commit atılmış, develop branch açılmış, 4 klasörlü yapı görünüyor.</t>
        </is>
      </c>
      <c r="H4" s="22" t="n">
        <v>2</v>
      </c>
      <c r="I4" s="22" t="inlineStr">
        <is>
          <t>Kritik</t>
        </is>
      </c>
      <c r="J4" s="22" t="inlineStr">
        <is>
          <t>-</t>
        </is>
      </c>
      <c r="K4" s="22" t="inlineStr">
        <is>
          <t>Yapılacak</t>
        </is>
      </c>
    </row>
    <row r="5" ht="67" customHeight="1">
      <c r="A5" s="24" t="inlineStr">
        <is>
          <t>Hafta 1</t>
        </is>
      </c>
      <c r="B5" s="24" t="inlineStr">
        <is>
          <t>Gün 1</t>
        </is>
      </c>
      <c r="C5" s="24" t="inlineStr">
        <is>
          <t>W1-T02</t>
        </is>
      </c>
      <c r="D5" s="25" t="inlineStr">
        <is>
          <t>Backend</t>
        </is>
      </c>
      <c r="E5" s="25" t="inlineStr">
        <is>
          <t>Python Sanal Ortam ve Bağımlılık Yönetimi</t>
        </is>
      </c>
      <c r="F5" s="25" t="inlineStr">
        <is>
          <t>python -m venv .venv ile izole ortam kurulur. requirements.txt: fastapi, uvicorn[standard], sqlalchemy, alembic, pydantic, pydantic-settings, python-jose[cryptography], passlib[bcrypt], httpx, motor, pymongo, python-dotenv, rapidfuzz, pytest. .env.example dosyası hazırlanır (gizli anahtarlar repoya girmez).</t>
        </is>
      </c>
      <c r="G5" s="25" t="inlineStr">
        <is>
          <t>pip install -r requirements.txt hatasız tamamlanıyor; uvicorn app.main:app --reload ayağa kalkıyor.</t>
        </is>
      </c>
      <c r="H5" s="24" t="n">
        <v>1.5</v>
      </c>
      <c r="I5" s="24" t="inlineStr">
        <is>
          <t>Kritik</t>
        </is>
      </c>
      <c r="J5" s="24" t="inlineStr">
        <is>
          <t>W1-T01</t>
        </is>
      </c>
      <c r="K5" s="24" t="inlineStr">
        <is>
          <t>Yapılacak</t>
        </is>
      </c>
    </row>
    <row r="6" ht="54.4" customHeight="1">
      <c r="A6" s="22" t="inlineStr">
        <is>
          <t>Hafta 1</t>
        </is>
      </c>
      <c r="B6" s="22" t="inlineStr">
        <is>
          <t>Gün 1</t>
        </is>
      </c>
      <c r="C6" s="22" t="inlineStr">
        <is>
          <t>W1-T03</t>
        </is>
      </c>
      <c r="D6" s="23" t="inlineStr">
        <is>
          <t>Backend</t>
        </is>
      </c>
      <c r="E6" s="23" t="inlineStr">
        <is>
          <t>FastAPI Katmanlı Mimari İskeleti</t>
        </is>
      </c>
      <c r="F6" s="23" t="inlineStr">
        <is>
          <t>app/ altında core (config, security), db (session, base), models, schemas, routers, services klasörleri oluşturulur. main.py içinde CORS middleware, global exception handler, /health endpoint ve /api/v1 versiyonlaması tanımlanır. Swagger UI doğrulanır.</t>
        </is>
      </c>
      <c r="G6" s="23" t="inlineStr">
        <is>
          <t>GET /health 200 {"status":"ok"} dönüyor; /docs sayfası açılıyor.</t>
        </is>
      </c>
      <c r="H6" s="22" t="n">
        <v>2.5</v>
      </c>
      <c r="I6" s="22" t="inlineStr">
        <is>
          <t>Kritik</t>
        </is>
      </c>
      <c r="J6" s="22" t="inlineStr">
        <is>
          <t>W1-T02</t>
        </is>
      </c>
      <c r="K6" s="22" t="inlineStr">
        <is>
          <t>Yapılacak</t>
        </is>
      </c>
    </row>
    <row r="7" ht="67" customHeight="1">
      <c r="A7" s="24" t="inlineStr">
        <is>
          <t>Hafta 1</t>
        </is>
      </c>
      <c r="B7" s="24" t="inlineStr">
        <is>
          <t>Gün 1-2</t>
        </is>
      </c>
      <c r="C7" s="24" t="inlineStr">
        <is>
          <t>W1-T04</t>
        </is>
      </c>
      <c r="D7" s="25" t="inlineStr">
        <is>
          <t>Veritabanı</t>
        </is>
      </c>
      <c r="E7" s="25" t="inlineStr">
        <is>
          <t>İlişkisel Şema (SQLite) E-R Modellemesi</t>
        </is>
      </c>
      <c r="F7" s="25" t="inlineStr">
        <is>
          <t>dbdiagram.io / drawSQL ile Enhanced Entity-Relationship modeli çizilir. Tablolar: users, user_profiles, user_preferences, products, pantry_items, shopping_list_items, meal_logs, recipe_feedback. 1:N (user -&gt; pantry) ve N:N (user &lt;-&gt; diet_tags) ilişkileri, PK/FK, UNIQUE(barcode), CHECK(quantity &gt;= 0) ve index kararları verilir.</t>
        </is>
      </c>
      <c r="G7" s="25" t="inlineStr">
        <is>
          <t>ER diyagramı PNG olarak /docs klasörüne eklenmiş; tüm tablo ve ilişkiler dokümante.</t>
        </is>
      </c>
      <c r="H7" s="24" t="n">
        <v>2.5</v>
      </c>
      <c r="I7" s="24" t="inlineStr">
        <is>
          <t>Kritik</t>
        </is>
      </c>
      <c r="J7" s="24" t="inlineStr">
        <is>
          <t>W1-T01</t>
        </is>
      </c>
      <c r="K7" s="24" t="inlineStr">
        <is>
          <t>Yapılacak</t>
        </is>
      </c>
    </row>
    <row r="8" ht="54.4" customHeight="1">
      <c r="A8" s="22" t="inlineStr">
        <is>
          <t>Hafta 1</t>
        </is>
      </c>
      <c r="B8" s="22" t="inlineStr">
        <is>
          <t>Gün 2</t>
        </is>
      </c>
      <c r="C8" s="22" t="inlineStr">
        <is>
          <t>W1-T05</t>
        </is>
      </c>
      <c r="D8" s="23" t="inlineStr">
        <is>
          <t>Veritabanı</t>
        </is>
      </c>
      <c r="E8" s="23" t="inlineStr">
        <is>
          <t>SQLAlchemy ORM Modellerinin Yazılması</t>
        </is>
      </c>
      <c r="F8" s="23" t="inlineStr">
        <is>
          <t>models/ altında User, UserProfile, UserPreference, Product, PantryItem, ShoppingListItem, MealLog, RecipeFeedback sınıfları. relationship() + back_populates, cascade='all, delete-orphan', server_default=func.now(), birim için Enum tipi (g/kg/ml/l/adet/paket).</t>
        </is>
      </c>
      <c r="G8" s="23" t="inlineStr">
        <is>
          <t>Modeller import ediliyor; Base.metadata.create_all ile tüm tablolar hatasız oluşuyor.</t>
        </is>
      </c>
      <c r="H8" s="22" t="n">
        <v>2.5</v>
      </c>
      <c r="I8" s="22" t="inlineStr">
        <is>
          <t>Kritik</t>
        </is>
      </c>
      <c r="J8" s="22" t="inlineStr">
        <is>
          <t>W1-T04</t>
        </is>
      </c>
      <c r="K8" s="22" t="inlineStr">
        <is>
          <t>Yapılacak</t>
        </is>
      </c>
    </row>
    <row r="9" ht="54.4" customHeight="1">
      <c r="A9" s="24" t="inlineStr">
        <is>
          <t>Hafta 1</t>
        </is>
      </c>
      <c r="B9" s="24" t="inlineStr">
        <is>
          <t>Gün 2</t>
        </is>
      </c>
      <c r="C9" s="24" t="inlineStr">
        <is>
          <t>W1-T06</t>
        </is>
      </c>
      <c r="D9" s="25" t="inlineStr">
        <is>
          <t>Veritabanı</t>
        </is>
      </c>
      <c r="E9" s="25" t="inlineStr">
        <is>
          <t>Alembic Migration Altyapısı</t>
        </is>
      </c>
      <c r="F9" s="25" t="inlineStr">
        <is>
          <t>alembic init ile kurulur, env.py içinde target_metadata bağlanır. İlk autogenerate migration üretilip 'alembic upgrade head' çalıştırılır. Böylece ilerleyen haftalarda şema değişikliği veri kaybı olmadan uygulanır.</t>
        </is>
      </c>
      <c r="G9" s="25" t="inlineStr">
        <is>
          <t>alembic upgrade head hatasız; versions/ altında ilk migration dosyası mevcut.</t>
        </is>
      </c>
      <c r="H9" s="24" t="n">
        <v>1.5</v>
      </c>
      <c r="I9" s="24" t="inlineStr">
        <is>
          <t>Yüksek</t>
        </is>
      </c>
      <c r="J9" s="24" t="inlineStr">
        <is>
          <t>W1-T05</t>
        </is>
      </c>
      <c r="K9" s="24" t="inlineStr">
        <is>
          <t>Yapılacak</t>
        </is>
      </c>
    </row>
    <row r="10" ht="54.4" customHeight="1">
      <c r="A10" s="22" t="inlineStr">
        <is>
          <t>Hafta 1</t>
        </is>
      </c>
      <c r="B10" s="22" t="inlineStr">
        <is>
          <t>Gün 2</t>
        </is>
      </c>
      <c r="C10" s="22" t="inlineStr">
        <is>
          <t>W1-T07</t>
        </is>
      </c>
      <c r="D10" s="23" t="inlineStr">
        <is>
          <t>Backend</t>
        </is>
      </c>
      <c r="E10" s="23" t="inlineStr">
        <is>
          <t>Pydantic Şemaları (Request / Response DTO)</t>
        </is>
      </c>
      <c r="F10" s="23" t="inlineStr">
        <is>
          <t>schemas/ altında Create / Update / Read ayrımıyla DTO'lar yazılır. from_attributes=True, alan doğrulamaları (quantity &gt; 0, birim enum, e-posta formatı), ortak hata modeli ve sayfalama şeması tanımlanır.</t>
        </is>
      </c>
      <c r="G10" s="23" t="inlineStr">
        <is>
          <t>Swagger UI'da tüm endpoint şemaları doğru; hatalı payload 422 dönüyor.</t>
        </is>
      </c>
      <c r="H10" s="22" t="n">
        <v>2</v>
      </c>
      <c r="I10" s="22" t="inlineStr">
        <is>
          <t>Yüksek</t>
        </is>
      </c>
      <c r="J10" s="22" t="inlineStr">
        <is>
          <t>W1-T05</t>
        </is>
      </c>
      <c r="K10" s="22" t="inlineStr">
        <is>
          <t>Yapılacak</t>
        </is>
      </c>
    </row>
    <row r="11" ht="54.4" customHeight="1">
      <c r="A11" s="24" t="inlineStr">
        <is>
          <t>Hafta 1</t>
        </is>
      </c>
      <c r="B11" s="24" t="inlineStr">
        <is>
          <t>Gün 2-3</t>
        </is>
      </c>
      <c r="C11" s="24" t="inlineStr">
        <is>
          <t>W1-T08</t>
        </is>
      </c>
      <c r="D11" s="25" t="inlineStr">
        <is>
          <t>Auth</t>
        </is>
      </c>
      <c r="E11" s="25" t="inlineStr">
        <is>
          <t>JWT Tabanlı Kimlik Doğrulama</t>
        </is>
      </c>
      <c r="F11" s="25" t="inlineStr">
        <is>
          <t>passlib ile bcrypt şifre hash'i, python-jose ile access token (30 dk) + refresh token üretimi. /auth/register, /auth/login, /auth/me endpoint'leri. OAuth2PasswordBearer + get_current_user dependency ile korumalı rotalar.</t>
        </is>
      </c>
      <c r="G11" s="25" t="inlineStr">
        <is>
          <t>Kayıt -&gt; giriş -&gt; korumalı endpoint akışı çalışıyor; token'sız istek 401 dönüyor.</t>
        </is>
      </c>
      <c r="H11" s="24" t="n">
        <v>2.5</v>
      </c>
      <c r="I11" s="24" t="inlineStr">
        <is>
          <t>Kritik</t>
        </is>
      </c>
      <c r="J11" s="24" t="inlineStr">
        <is>
          <t>W1-T07</t>
        </is>
      </c>
      <c r="K11" s="24" t="inlineStr">
        <is>
          <t>Yapılacak</t>
        </is>
      </c>
    </row>
    <row r="12" ht="41.8" customHeight="1">
      <c r="A12" s="22" t="inlineStr">
        <is>
          <t>Hafta 1</t>
        </is>
      </c>
      <c r="B12" s="22" t="inlineStr">
        <is>
          <t>Gün 3</t>
        </is>
      </c>
      <c r="C12" s="22" t="inlineStr">
        <is>
          <t>W1-T09</t>
        </is>
      </c>
      <c r="D12" s="23" t="inlineStr">
        <is>
          <t>Veritabanı</t>
        </is>
      </c>
      <c r="E12" s="23" t="inlineStr">
        <is>
          <t>MongoDB Atlas (Ücretsiz M0) Kurulumu ve Bağlantı</t>
        </is>
      </c>
      <c r="F12" s="23" t="inlineStr">
        <is>
          <t>MongoDB Atlas'ta M0 ücretsiz cluster açılır, IP whitelist ve DB kullanıcısı tanımlanır. Backend'de motor (async driver) ile bağlantı havuzu kurulur; connection string .env'den okunur.</t>
        </is>
      </c>
      <c r="G12" s="23" t="inlineStr">
        <is>
          <t>Uygulama açılışında Mongo ping başarılı; bağlantı bilgisi koda gömülü değil.</t>
        </is>
      </c>
      <c r="H12" s="22" t="n">
        <v>1.5</v>
      </c>
      <c r="I12" s="22" t="inlineStr">
        <is>
          <t>Kritik</t>
        </is>
      </c>
      <c r="J12" s="22" t="inlineStr">
        <is>
          <t>W1-T03</t>
        </is>
      </c>
      <c r="K12" s="22" t="inlineStr">
        <is>
          <t>Yapılacak</t>
        </is>
      </c>
    </row>
    <row r="13" ht="79.59999999999999" customHeight="1">
      <c r="A13" s="24" t="inlineStr">
        <is>
          <t>Hafta 1</t>
        </is>
      </c>
      <c r="B13" s="24" t="inlineStr">
        <is>
          <t>Gün 3</t>
        </is>
      </c>
      <c r="C13" s="24" t="inlineStr">
        <is>
          <t>W1-T10</t>
        </is>
      </c>
      <c r="D13" s="25" t="inlineStr">
        <is>
          <t>Veritabanı</t>
        </is>
      </c>
      <c r="E13" s="25" t="inlineStr">
        <is>
          <t>NoSQL Tarif Koleksiyon Şeması (MongoDB)</t>
        </is>
      </c>
      <c r="F13" s="25" t="inlineStr">
        <is>
          <t>recipes koleksiyonu: _id, title, slug, image_url, ingredients[{name, canonical_name, quantity, unit, optional}], steps[], calories_per_serving, macros{protein, carb, fat}, servings, prep_time, cook_time, difficulty, diet_tags[vegan/vejetaryen/glutensiz], cuisine, allergens[]. $jsonSchema validator + canonical_name, diet_tags, calories üzerine index.</t>
        </is>
      </c>
      <c r="G13" s="25" t="inlineStr">
        <is>
          <t>Şema validator aktif; eksik alanlı doküman reddediliyor; index'ler oluşturulmuş.</t>
        </is>
      </c>
      <c r="H13" s="24" t="n">
        <v>2</v>
      </c>
      <c r="I13" s="24" t="inlineStr">
        <is>
          <t>Kritik</t>
        </is>
      </c>
      <c r="J13" s="24" t="inlineStr">
        <is>
          <t>W1-T09</t>
        </is>
      </c>
      <c r="K13" s="24" t="inlineStr">
        <is>
          <t>Yapılacak</t>
        </is>
      </c>
    </row>
    <row r="14" ht="67" customHeight="1">
      <c r="A14" s="22" t="inlineStr">
        <is>
          <t>Hafta 1</t>
        </is>
      </c>
      <c r="B14" s="22" t="inlineStr">
        <is>
          <t>Gün 3</t>
        </is>
      </c>
      <c r="C14" s="22" t="inlineStr">
        <is>
          <t>W1-T11</t>
        </is>
      </c>
      <c r="D14" s="23" t="inlineStr">
        <is>
          <t>Veri</t>
        </is>
      </c>
      <c r="E14" s="23" t="inlineStr">
        <is>
          <t>Tarif Seed Verisinin Hazırlanması (100+ Tarif)</t>
        </is>
      </c>
      <c r="F14" s="23" t="inlineStr">
        <is>
          <t>Kaggle 'Recipe Ingredients Dataset' / RecipeNLG ve telifsiz açık kaynaklardan veri alınır; Pandas ile temizlenir (küçük harf, trim, birim ayrıştırma, mükerrer temizliği). Türk mutfağından en az 40 tarif manuel eklenir. /data/recipes_seed.json üretilip mongoimport ile yüklenir.</t>
        </is>
      </c>
      <c r="G14" s="23" t="inlineStr">
        <is>
          <t>MongoDB'de en az 100 geçerli tarif; hepsinde kalori, porsiyon ve malzeme alanı dolu.</t>
        </is>
      </c>
      <c r="H14" s="22" t="n">
        <v>2.5</v>
      </c>
      <c r="I14" s="22" t="inlineStr">
        <is>
          <t>Kritik</t>
        </is>
      </c>
      <c r="J14" s="22" t="inlineStr">
        <is>
          <t>W1-T10</t>
        </is>
      </c>
      <c r="K14" s="22" t="inlineStr">
        <is>
          <t>Yapılacak</t>
        </is>
      </c>
    </row>
    <row r="15" ht="67" customHeight="1">
      <c r="A15" s="24" t="inlineStr">
        <is>
          <t>Hafta 1</t>
        </is>
      </c>
      <c r="B15" s="24" t="inlineStr">
        <is>
          <t>Gün 3</t>
        </is>
      </c>
      <c r="C15" s="24" t="inlineStr">
        <is>
          <t>W1-T12</t>
        </is>
      </c>
      <c r="D15" s="25" t="inlineStr">
        <is>
          <t>Veri</t>
        </is>
      </c>
      <c r="E15" s="25" t="inlineStr">
        <is>
          <t>Malzeme Sözlüğü ve Birim Normalizasyon Tablosu</t>
        </is>
      </c>
      <c r="F15" s="25" t="inlineStr">
        <is>
          <t>ingredients_dictionary.json: 'kırmızı mercimek', 'k.mercimek', 'mercimek (kırmızı)' -&gt; canonical: kirmizi_mercimek. Birim dönüşüm tablosu (1 su bardağı = 200 ml, 1 yemek kaşığı = 15 ml, 1 kg = 1000 g). Bu tablo hem kiler hem tarif eşleştirmesi için TEK doğruluk kaynağıdır.</t>
        </is>
      </c>
      <c r="G15" s="25" t="inlineStr">
        <is>
          <t>En az 150 malzeme için canonical eşleme var; birim dönüşüm fonksiyonu birim testinden geçiyor.</t>
        </is>
      </c>
      <c r="H15" s="24" t="n">
        <v>2</v>
      </c>
      <c r="I15" s="24" t="inlineStr">
        <is>
          <t>Kritik</t>
        </is>
      </c>
      <c r="J15" s="24" t="inlineStr">
        <is>
          <t>W1-T11</t>
        </is>
      </c>
      <c r="K15" s="24" t="inlineStr">
        <is>
          <t>Yapılacak</t>
        </is>
      </c>
    </row>
    <row r="16" ht="54.4" customHeight="1">
      <c r="A16" s="22" t="inlineStr">
        <is>
          <t>Hafta 1</t>
        </is>
      </c>
      <c r="B16" s="22" t="inlineStr">
        <is>
          <t>Gün 4</t>
        </is>
      </c>
      <c r="C16" s="22" t="inlineStr">
        <is>
          <t>W1-T13</t>
        </is>
      </c>
      <c r="D16" s="23" t="inlineStr">
        <is>
          <t>Mobil</t>
        </is>
      </c>
      <c r="E16" s="23" t="inlineStr">
        <is>
          <t>React Native (TypeScript) Projesinin Kurulması</t>
        </is>
      </c>
      <c r="F16" s="23" t="inlineStr">
        <is>
          <t>npx create-expo-app --template blank-typescript ile proje açılır. Expo Dev Client kurulur (ML Kit gibi native modüller için zorunlu). ESLint + Prettier + absolute import (babel-plugin-module-resolver) yapılandırılır.</t>
        </is>
      </c>
      <c r="G16" s="23" t="inlineStr">
        <is>
          <t>Uygulama gerçek cihazda/emülatörde açılıyor; lint hatasız.</t>
        </is>
      </c>
      <c r="H16" s="22" t="n">
        <v>1.5</v>
      </c>
      <c r="I16" s="22" t="inlineStr">
        <is>
          <t>Kritik</t>
        </is>
      </c>
      <c r="J16" s="22" t="inlineStr">
        <is>
          <t>W1-T01</t>
        </is>
      </c>
      <c r="K16" s="22" t="inlineStr">
        <is>
          <t>Yapılacak</t>
        </is>
      </c>
    </row>
    <row r="17" ht="54.4" customHeight="1">
      <c r="A17" s="24" t="inlineStr">
        <is>
          <t>Hafta 1</t>
        </is>
      </c>
      <c r="B17" s="24" t="inlineStr">
        <is>
          <t>Gün 4</t>
        </is>
      </c>
      <c r="C17" s="24" t="inlineStr">
        <is>
          <t>W1-T14</t>
        </is>
      </c>
      <c r="D17" s="25" t="inlineStr">
        <is>
          <t>Mobil</t>
        </is>
      </c>
      <c r="E17" s="25" t="inlineStr">
        <is>
          <t>Alt Bar Navigasyonu (4 Sekme) ve Rotalama</t>
        </is>
      </c>
      <c r="F17" s="25" t="inlineStr">
        <is>
          <t>React Navigation + Bottom Tabs: Kiler, Yemek Tarifleri, Kalori Sayacı, Alışveriş Listesi. Ayrıca Stack Navigator (Tarif Detay, Chatbot, Barkod Tarayıcı, Profil, Onboarding). Sekme ikonları ve aktif/pasif renkleri ayarlanır.</t>
        </is>
      </c>
      <c r="G17" s="25" t="inlineStr">
        <is>
          <t>4 sekme arasında geçiş sorunsuz; derin ekranlara stack ile gidilip geri dönülüyor.</t>
        </is>
      </c>
      <c r="H17" s="24" t="n">
        <v>1.5</v>
      </c>
      <c r="I17" s="24" t="inlineStr">
        <is>
          <t>Kritik</t>
        </is>
      </c>
      <c r="J17" s="24" t="inlineStr">
        <is>
          <t>W1-T13</t>
        </is>
      </c>
      <c r="K17" s="24" t="inlineStr">
        <is>
          <t>Yapılacak</t>
        </is>
      </c>
    </row>
    <row r="18" ht="54.4" customHeight="1">
      <c r="A18" s="22" t="inlineStr">
        <is>
          <t>Hafta 1</t>
        </is>
      </c>
      <c r="B18" s="22" t="inlineStr">
        <is>
          <t>Gün 4</t>
        </is>
      </c>
      <c r="C18" s="22" t="inlineStr">
        <is>
          <t>W1-T15</t>
        </is>
      </c>
      <c r="D18" s="23" t="inlineStr">
        <is>
          <t>Mobil</t>
        </is>
      </c>
      <c r="E18" s="23" t="inlineStr">
        <is>
          <t>Tasarım Sistemi ve Ortak Bileşenler</t>
        </is>
      </c>
      <c r="F18" s="23" t="inlineStr">
        <is>
          <t>theme.ts: renk paleti (yeşil/kırmızı/gri semantik renkler dahil), tipografi ölçeği, spacing skalası. Ortak bileşenler: Button, Card, Input, Badge, EmptyState, LoadingSkeleton, Toast. Karanlık mod değişkenleri tanımlanır.</t>
        </is>
      </c>
      <c r="G18" s="23" t="inlineStr">
        <is>
          <t>Demo ekranında tüm ortak bileşenler render ediliyor; renkler tek yerden yönetiliyor.</t>
        </is>
      </c>
      <c r="H18" s="22" t="n">
        <v>1.5</v>
      </c>
      <c r="I18" s="22" t="inlineStr">
        <is>
          <t>Orta</t>
        </is>
      </c>
      <c r="J18" s="22" t="inlineStr">
        <is>
          <t>W1-T14</t>
        </is>
      </c>
      <c r="K18" s="22" t="inlineStr">
        <is>
          <t>Yapılacak</t>
        </is>
      </c>
    </row>
    <row r="19" ht="54.4" customHeight="1">
      <c r="A19" s="24" t="inlineStr">
        <is>
          <t>Hafta 1</t>
        </is>
      </c>
      <c r="B19" s="24" t="inlineStr">
        <is>
          <t>Gün 4-5</t>
        </is>
      </c>
      <c r="C19" s="24" t="inlineStr">
        <is>
          <t>W1-T16</t>
        </is>
      </c>
      <c r="D19" s="25" t="inlineStr">
        <is>
          <t>Mobil</t>
        </is>
      </c>
      <c r="E19" s="25" t="inlineStr">
        <is>
          <t>API İstemci Katmanı ve Sunucu Durumu Yönetimi</t>
        </is>
      </c>
      <c r="F19" s="25" t="inlineStr">
        <is>
          <t>axios instance (baseURL .env'den), request interceptor ile Bearer token ekleme, response interceptor ile 401'de refresh/logout. TanStack Query ile cache, retry, stale-time ve invalidation stratejisi kurulur.</t>
        </is>
      </c>
      <c r="G19" s="25" t="inlineStr">
        <is>
          <t>Mobilden /health ve /auth/me çağrıları başarılı; token otomatik ekleniyor.</t>
        </is>
      </c>
      <c r="H19" s="24" t="n">
        <v>2</v>
      </c>
      <c r="I19" s="24" t="inlineStr">
        <is>
          <t>Kritik</t>
        </is>
      </c>
      <c r="J19" s="24" t="inlineStr">
        <is>
          <t>W1-T14</t>
        </is>
      </c>
      <c r="K19" s="24" t="inlineStr">
        <is>
          <t>Yapılacak</t>
        </is>
      </c>
    </row>
    <row r="20" ht="41.8" customHeight="1">
      <c r="A20" s="22" t="inlineStr">
        <is>
          <t>Hafta 1</t>
        </is>
      </c>
      <c r="B20" s="22" t="inlineStr">
        <is>
          <t>Gün 5</t>
        </is>
      </c>
      <c r="C20" s="22" t="inlineStr">
        <is>
          <t>W1-T17</t>
        </is>
      </c>
      <c r="D20" s="23" t="inlineStr">
        <is>
          <t>Mobil</t>
        </is>
      </c>
      <c r="E20" s="23" t="inlineStr">
        <is>
          <t>İstemci Durumu ve Güvenli Token Saklama</t>
        </is>
      </c>
      <c r="F20" s="23" t="inlineStr">
        <is>
          <t>Zustand ile authStore + profileStore. Token expo-secure-store içinde şifreli saklanır. Uygulama açılışında oturum restore edilir (splash + auth gate mantığı).</t>
        </is>
      </c>
      <c r="G20" s="23" t="inlineStr">
        <is>
          <t>Uygulama kapatılıp açıldığında oturum korunuyor; çıkışta token siliniyor.</t>
        </is>
      </c>
      <c r="H20" s="22" t="n">
        <v>2</v>
      </c>
      <c r="I20" s="22" t="inlineStr">
        <is>
          <t>Yüksek</t>
        </is>
      </c>
      <c r="J20" s="22" t="inlineStr">
        <is>
          <t>W1-T16</t>
        </is>
      </c>
      <c r="K20" s="22" t="inlineStr">
        <is>
          <t>Yapılacak</t>
        </is>
      </c>
    </row>
    <row r="21" ht="41.8" customHeight="1">
      <c r="A21" s="24" t="inlineStr">
        <is>
          <t>Hafta 1</t>
        </is>
      </c>
      <c r="B21" s="24" t="inlineStr">
        <is>
          <t>Gün 5</t>
        </is>
      </c>
      <c r="C21" s="24" t="inlineStr">
        <is>
          <t>W1-T18</t>
        </is>
      </c>
      <c r="D21" s="25" t="inlineStr">
        <is>
          <t>Mobil</t>
        </is>
      </c>
      <c r="E21" s="25" t="inlineStr">
        <is>
          <t>Kayıt ve Giriş Ekranları</t>
        </is>
      </c>
      <c r="F21" s="25" t="inlineStr">
        <is>
          <t>React Hook Form + Yup ile doğrulama. Hata mesajları, yükleniyor durumu, KeyboardAvoidingView, şifre göster/gizle. Başarılı girişte ana sekmeye yönlendirme.</t>
        </is>
      </c>
      <c r="G21" s="25" t="inlineStr">
        <is>
          <t>Geçersiz e-posta/şifre için anlaşılır hata; başarılı girişte yönlendirme çalışıyor.</t>
        </is>
      </c>
      <c r="H21" s="24" t="n">
        <v>2</v>
      </c>
      <c r="I21" s="24" t="inlineStr">
        <is>
          <t>Yüksek</t>
        </is>
      </c>
      <c r="J21" s="24" t="inlineStr">
        <is>
          <t>W1-T17</t>
        </is>
      </c>
      <c r="K21" s="24" t="inlineStr">
        <is>
          <t>Yapılacak</t>
        </is>
      </c>
    </row>
    <row r="22" ht="67" customHeight="1">
      <c r="A22" s="22" t="inlineStr">
        <is>
          <t>Hafta 1</t>
        </is>
      </c>
      <c r="B22" s="22" t="inlineStr">
        <is>
          <t>Gün 5</t>
        </is>
      </c>
      <c r="C22" s="22" t="inlineStr">
        <is>
          <t>W1-T19</t>
        </is>
      </c>
      <c r="D22" s="23" t="inlineStr">
        <is>
          <t>Mobil</t>
        </is>
      </c>
      <c r="E22" s="23" t="inlineStr">
        <is>
          <t>Onboarding (Kullanıcıyı Tanıma) Anketi</t>
        </is>
      </c>
      <c r="F22" s="23" t="inlineStr">
        <is>
          <t>4 adımlı sihirbaz: (1) yaş/cinsiyet/boy/kilo/aktivite düzeyi, (2) hedef (kilo verme/koruma/alma), (3) diyet tercihi (vegan/vejetaryen/glutensiz/yok) + alerjenler, (4) 'Sevdiğin 5 yemeği seç' kart grid'i. Cevaplar user_profiles ve user_preferences tablolarına POST edilir.</t>
        </is>
      </c>
      <c r="G22" s="23" t="inlineStr">
        <is>
          <t>Anket tamamlanınca profil DB'ye yazılıyor ve anket bir daha gösterilmiyor.</t>
        </is>
      </c>
      <c r="H22" s="22" t="n">
        <v>2.5</v>
      </c>
      <c r="I22" s="22" t="inlineStr">
        <is>
          <t>Kritik</t>
        </is>
      </c>
      <c r="J22" s="22" t="inlineStr">
        <is>
          <t>W1-T18</t>
        </is>
      </c>
      <c r="K22" s="22" t="inlineStr">
        <is>
          <t>Yapılacak</t>
        </is>
      </c>
    </row>
    <row r="23" ht="54.4" customHeight="1">
      <c r="A23" s="24" t="inlineStr">
        <is>
          <t>Hafta 1</t>
        </is>
      </c>
      <c r="B23" s="24" t="inlineStr">
        <is>
          <t>Gün 5</t>
        </is>
      </c>
      <c r="C23" s="24" t="inlineStr">
        <is>
          <t>W1-T20</t>
        </is>
      </c>
      <c r="D23" s="25" t="inlineStr">
        <is>
          <t>Kalori</t>
        </is>
      </c>
      <c r="E23" s="25" t="inlineStr">
        <is>
          <t>Kalori Hedefi Hesaplama Servisi (BMR / TDEE)</t>
        </is>
      </c>
      <c r="F23" s="25" t="inlineStr">
        <is>
          <t>Mifflin-St Jeor formülü ile BMR, aktivite katsayısı ile TDEE hesaplanır; hedefe göre -500 / +500 kcal düzeltme uygulanır. Makro dağılımı (%30 protein, %40 karbonhidrat, %30 yağ) hesaplanır. Servis pytest ile test edilir.</t>
        </is>
      </c>
      <c r="G23" s="25" t="inlineStr">
        <is>
          <t>Örnek profil için hesaplanan hedef, referans hesaplayıcı ile +/-%2 uyumlu.</t>
        </is>
      </c>
      <c r="H23" s="24" t="n">
        <v>2</v>
      </c>
      <c r="I23" s="24" t="inlineStr">
        <is>
          <t>Yüksek</t>
        </is>
      </c>
      <c r="J23" s="24" t="inlineStr">
        <is>
          <t>W1-T19</t>
        </is>
      </c>
      <c r="K23" s="24" t="inlineStr">
        <is>
          <t>Yapılacak</t>
        </is>
      </c>
    </row>
    <row r="24" ht="41.8" customHeight="1">
      <c r="A24" s="22" t="inlineStr">
        <is>
          <t>Hafta 1</t>
        </is>
      </c>
      <c r="B24" s="22" t="inlineStr">
        <is>
          <t>Gün 5</t>
        </is>
      </c>
      <c r="C24" s="22" t="inlineStr">
        <is>
          <t>W1-T21</t>
        </is>
      </c>
      <c r="D24" s="23" t="inlineStr">
        <is>
          <t>Kurulum &amp; DevOps</t>
        </is>
      </c>
      <c r="E24" s="23" t="inlineStr">
        <is>
          <t>Hafta 1 Entegrasyon Kontrolü ve Postman Koleksiyonu</t>
        </is>
      </c>
      <c r="F24" s="23" t="inlineStr">
        <is>
          <t>Tüm endpoint'ler için Postman / Thunder Client koleksiyonu ve ortam değişkenleri hazırlanır. Hafta sonu mini demo, staj defteri notları ve backlog güncellemesi yapılır.</t>
        </is>
      </c>
      <c r="G24" s="23" t="inlineStr">
        <is>
          <t>Koleksiyon repoda; Hafta-1 görevlerinin tamamı 'Tamamlandı' durumunda.</t>
        </is>
      </c>
      <c r="H24" s="22" t="n">
        <v>1</v>
      </c>
      <c r="I24" s="22" t="inlineStr">
        <is>
          <t>Orta</t>
        </is>
      </c>
      <c r="J24" s="22" t="inlineStr">
        <is>
          <t>W1-T20</t>
        </is>
      </c>
      <c r="K24" s="22" t="inlineStr">
        <is>
          <t>Yapılacak</t>
        </is>
      </c>
    </row>
    <row r="25" ht="54.4" customHeight="1">
      <c r="A25" s="24" t="inlineStr">
        <is>
          <t>Hafta 2</t>
        </is>
      </c>
      <c r="B25" s="24" t="inlineStr">
        <is>
          <t>Gün 6</t>
        </is>
      </c>
      <c r="C25" s="24" t="inlineStr">
        <is>
          <t>W2-T01</t>
        </is>
      </c>
      <c r="D25" s="25" t="inlineStr">
        <is>
          <t>Backend / Kiler</t>
        </is>
      </c>
      <c r="E25" s="25" t="inlineStr">
        <is>
          <t>Kiler CRUD API Endpoint'leri</t>
        </is>
      </c>
      <c r="F25" s="25" t="inlineStr">
        <is>
          <t>FastAPI router: POST /pantry (ekle), GET /pantry (listele + sayfalama + kategori filtresi), PATCH /pantry/{id} (miktar/SKT güncelle), DELETE /pantry/{id}. Tüm işlemler current_user'a bağlanır; başkasının verisine erişim 403 döner.</t>
        </is>
      </c>
      <c r="G25" s="25" t="inlineStr">
        <is>
          <t>4 metot da Swagger'da çalışıyor; başka kullanıcının kaydına erişim engelleniyor.</t>
        </is>
      </c>
      <c r="H25" s="24" t="n">
        <v>3</v>
      </c>
      <c r="I25" s="24" t="inlineStr">
        <is>
          <t>Kritik</t>
        </is>
      </c>
      <c r="J25" s="24" t="inlineStr">
        <is>
          <t>W1-T08</t>
        </is>
      </c>
      <c r="K25" s="24" t="inlineStr">
        <is>
          <t>Yapılacak</t>
        </is>
      </c>
    </row>
    <row r="26" ht="54.4" customHeight="1">
      <c r="A26" s="22" t="inlineStr">
        <is>
          <t>Hafta 2</t>
        </is>
      </c>
      <c r="B26" s="22" t="inlineStr">
        <is>
          <t>Gün 6</t>
        </is>
      </c>
      <c r="C26" s="22" t="inlineStr">
        <is>
          <t>W2-T02</t>
        </is>
      </c>
      <c r="D26" s="23" t="inlineStr">
        <is>
          <t>Backend / Kiler</t>
        </is>
      </c>
      <c r="E26" s="23" t="inlineStr">
        <is>
          <t>Stok Miktarı, Birim ve Kritik Eşik Mantığı</t>
        </is>
      </c>
      <c r="F26" s="23" t="inlineStr">
        <is>
          <t>pantry_items içinde quantity, unit, min_threshold alanları. Birim normalizasyon servisi ile '5 kg' girdisi 5000 g olarak saklanır (tek birimde tutmak karşılaştırmayı basitleştirir). quantity &lt;= min_threshold ise response'a is_low=true hesaplanan alanı eklenir.</t>
        </is>
      </c>
      <c r="G26" s="23" t="inlineStr">
        <is>
          <t>5 kg mercimek girildiğinde DB'de 5000 g tutuluyor; eşik altındaki ürün is_low=true dönüyor.</t>
        </is>
      </c>
      <c r="H26" s="22" t="n">
        <v>2.5</v>
      </c>
      <c r="I26" s="22" t="inlineStr">
        <is>
          <t>Kritik</t>
        </is>
      </c>
      <c r="J26" s="22" t="inlineStr">
        <is>
          <t>W2-T01</t>
        </is>
      </c>
      <c r="K26" s="22" t="inlineStr">
        <is>
          <t>Yapılacak</t>
        </is>
      </c>
    </row>
    <row r="27" ht="54.4" customHeight="1">
      <c r="A27" s="24" t="inlineStr">
        <is>
          <t>Hafta 2</t>
        </is>
      </c>
      <c r="B27" s="24" t="inlineStr">
        <is>
          <t>Gün 6</t>
        </is>
      </c>
      <c r="C27" s="24" t="inlineStr">
        <is>
          <t>W2-T03</t>
        </is>
      </c>
      <c r="D27" s="25" t="inlineStr">
        <is>
          <t>Backend / Ürün</t>
        </is>
      </c>
      <c r="E27" s="25" t="inlineStr">
        <is>
          <t>Ürün Kataloğu ve Barkod Önbelleği</t>
        </is>
      </c>
      <c r="F27" s="25" t="inlineStr">
        <is>
          <t>products tablosu: barcode (UNIQUE), name, brand, calories_per_100g, protein/carb/fat, default_unit, image_url, source (off/user). Barkod ilk kez sorgulandığında dış API'den çekilip buraya yazılır; ikinci sorguda DB'den okunur (gecikme ve maliyet düşer).</t>
        </is>
      </c>
      <c r="G27" s="25" t="inlineStr">
        <is>
          <t>Aynı barkod ikinci kez okunduğunda dış API'ye istek gitmiyor (log ile doğrulanır).</t>
        </is>
      </c>
      <c r="H27" s="24" t="n">
        <v>2</v>
      </c>
      <c r="I27" s="24" t="inlineStr">
        <is>
          <t>Yüksek</t>
        </is>
      </c>
      <c r="J27" s="24" t="inlineStr">
        <is>
          <t>W2-T01</t>
        </is>
      </c>
      <c r="K27" s="24" t="inlineStr">
        <is>
          <t>Yapılacak</t>
        </is>
      </c>
    </row>
    <row r="28" ht="67" customHeight="1">
      <c r="A28" s="22" t="inlineStr">
        <is>
          <t>Hafta 2</t>
        </is>
      </c>
      <c r="B28" s="22" t="inlineStr">
        <is>
          <t>Gün 6-7</t>
        </is>
      </c>
      <c r="C28" s="22" t="inlineStr">
        <is>
          <t>W2-T04</t>
        </is>
      </c>
      <c r="D28" s="23" t="inlineStr">
        <is>
          <t>Entegrasyon</t>
        </is>
      </c>
      <c r="E28" s="23" t="inlineStr">
        <is>
          <t>Open Food Facts API Entegrasyon Servisi</t>
        </is>
      </c>
      <c r="F28" s="23" t="inlineStr">
        <is>
          <t>httpx.AsyncClient ile GET /api/v2/product/{barcode}.json. 5 sn timeout, 2 kez retry, hata yönetimi. Dönen JSON'dan product_name, brands, quantity ve nutriments (energy-kcal_100g, proteins, carbohydrates, fat) ayrıştırılır. Türkçe alan yoksa product_name_tr -&gt; product_name fallback'i uygulanır.</t>
        </is>
      </c>
      <c r="G28" s="23" t="inlineStr">
        <is>
          <t>Gerçek bir Türk market ürünü barkodu ile ürün adı + kalori bilgisi başarıyla dönüyor.</t>
        </is>
      </c>
      <c r="H28" s="22" t="n">
        <v>2.5</v>
      </c>
      <c r="I28" s="22" t="inlineStr">
        <is>
          <t>Kritik</t>
        </is>
      </c>
      <c r="J28" s="22" t="inlineStr">
        <is>
          <t>W2-T03</t>
        </is>
      </c>
      <c r="K28" s="22" t="inlineStr">
        <is>
          <t>Yapılacak</t>
        </is>
      </c>
    </row>
    <row r="29" ht="54.4" customHeight="1">
      <c r="A29" s="24" t="inlineStr">
        <is>
          <t>Hafta 2</t>
        </is>
      </c>
      <c r="B29" s="24" t="inlineStr">
        <is>
          <t>Gün 7</t>
        </is>
      </c>
      <c r="C29" s="24" t="inlineStr">
        <is>
          <t>W2-T05</t>
        </is>
      </c>
      <c r="D29" s="25" t="inlineStr">
        <is>
          <t>Backend / Ürün</t>
        </is>
      </c>
      <c r="E29" s="25" t="inlineStr">
        <is>
          <t>Barkod Bulunamadı Senaryosu (Manuel Kayıt Fallback)</t>
        </is>
      </c>
      <c r="F29" s="25" t="inlineStr">
        <is>
          <t>Dış API 404 dönerse kullanıcıya manuel giriş formu açılır; girilen bilgi products tablosuna source='user' ile kaydedilir ve sonraki kullanıcılar için havuza katkı sağlar. Böylece Türk ürünlerindeki veri boşluğu zamanla kapanır.</t>
        </is>
      </c>
      <c r="G29" s="25" t="inlineStr">
        <is>
          <t>Bilinmeyen barkodda uygulama çökmüyor, manuel form açılıyor, kayıt kalıcı oluyor.</t>
        </is>
      </c>
      <c r="H29" s="24" t="n">
        <v>2</v>
      </c>
      <c r="I29" s="24" t="inlineStr">
        <is>
          <t>Yüksek</t>
        </is>
      </c>
      <c r="J29" s="24" t="inlineStr">
        <is>
          <t>W2-T04</t>
        </is>
      </c>
      <c r="K29" s="24" t="inlineStr">
        <is>
          <t>Yapılacak</t>
        </is>
      </c>
    </row>
    <row r="30" ht="54.4" customHeight="1">
      <c r="A30" s="22" t="inlineStr">
        <is>
          <t>Hafta 2</t>
        </is>
      </c>
      <c r="B30" s="22" t="inlineStr">
        <is>
          <t>Gün 7</t>
        </is>
      </c>
      <c r="C30" s="22" t="inlineStr">
        <is>
          <t>W2-T06</t>
        </is>
      </c>
      <c r="D30" s="23" t="inlineStr">
        <is>
          <t>Mobil / Kiler</t>
        </is>
      </c>
      <c r="E30" s="23" t="inlineStr">
        <is>
          <t>Kiler Listesi Ekranı</t>
        </is>
      </c>
      <c r="F30" s="23" t="inlineStr">
        <is>
          <t>FlatList ile performanslı liste; kategori sekmeleri (Bakliyat / Süt / Et / Manav / Kuru gıda / Diğer), debounce'lu (300 ms) arama, pull-to-refresh, boş durum ekranı. Eşik altı ürünler uyarı rozetiyle işaretlenir.</t>
        </is>
      </c>
      <c r="G30" s="23" t="inlineStr">
        <is>
          <t>200 kayıtlı listede kaydırma akıcı; arama ve kategori filtresi doğru sonuç veriyor.</t>
        </is>
      </c>
      <c r="H30" s="22" t="n">
        <v>3</v>
      </c>
      <c r="I30" s="22" t="inlineStr">
        <is>
          <t>Kritik</t>
        </is>
      </c>
      <c r="J30" s="22" t="inlineStr">
        <is>
          <t>W2-T01</t>
        </is>
      </c>
      <c r="K30" s="22" t="inlineStr">
        <is>
          <t>Yapılacak</t>
        </is>
      </c>
    </row>
    <row r="31" ht="54.4" customHeight="1">
      <c r="A31" s="24" t="inlineStr">
        <is>
          <t>Hafta 2</t>
        </is>
      </c>
      <c r="B31" s="24" t="inlineStr">
        <is>
          <t>Gün 7</t>
        </is>
      </c>
      <c r="C31" s="24" t="inlineStr">
        <is>
          <t>W2-T07</t>
        </is>
      </c>
      <c r="D31" s="25" t="inlineStr">
        <is>
          <t>Mobil / Kiler</t>
        </is>
      </c>
      <c r="E31" s="25" t="inlineStr">
        <is>
          <t>Ürün Ekleme / Düzenleme Modalı (Manuel Giriş)</t>
        </is>
      </c>
      <c r="F31" s="25" t="inlineStr">
        <is>
          <t>Bottom sheet modal: ürün adı (otomatik tamamlama), miktar, birim seçici (g/kg/ml/l/adet/paket), kategori, son kullanma tarihi (date picker), kritik eşik. 'Mercimek aldım, 5 kg' senaryosu tek akışta tamamlanır.</t>
        </is>
      </c>
      <c r="G31" s="25" t="inlineStr">
        <is>
          <t>Manuel ekleme sonrası liste anında güncelleniyor (query invalidation çalışıyor).</t>
        </is>
      </c>
      <c r="H31" s="24" t="n">
        <v>2.5</v>
      </c>
      <c r="I31" s="24" t="inlineStr">
        <is>
          <t>Kritik</t>
        </is>
      </c>
      <c r="J31" s="24" t="inlineStr">
        <is>
          <t>W2-T06</t>
        </is>
      </c>
      <c r="K31" s="24" t="inlineStr">
        <is>
          <t>Yapılacak</t>
        </is>
      </c>
    </row>
    <row r="32" ht="41.8" customHeight="1">
      <c r="A32" s="22" t="inlineStr">
        <is>
          <t>Hafta 2</t>
        </is>
      </c>
      <c r="B32" s="22" t="inlineStr">
        <is>
          <t>Gün 7</t>
        </is>
      </c>
      <c r="C32" s="22" t="inlineStr">
        <is>
          <t>W2-T08</t>
        </is>
      </c>
      <c r="D32" s="23" t="inlineStr">
        <is>
          <t>Mobil / Kiler</t>
        </is>
      </c>
      <c r="E32" s="23" t="inlineStr">
        <is>
          <t>Kaydırarak Silme ve İyimser (Optimistic) Güncelleme</t>
        </is>
      </c>
      <c r="F32" s="23" t="inlineStr">
        <is>
          <t>react-native-gesture-handler Swipeable ile sil/düzenle aksiyonları. TanStack Query optimistic update; istek başarısız olursa rollback + toast bildirimi.</t>
        </is>
      </c>
      <c r="G32" s="23" t="inlineStr">
        <is>
          <t>İnternet kapalıyken silme denemesi geri alınıyor ve kullanıcı bilgilendiriliyor.</t>
        </is>
      </c>
      <c r="H32" s="22" t="n">
        <v>2</v>
      </c>
      <c r="I32" s="22" t="inlineStr">
        <is>
          <t>Orta</t>
        </is>
      </c>
      <c r="J32" s="22" t="inlineStr">
        <is>
          <t>W2-T07</t>
        </is>
      </c>
      <c r="K32" s="22" t="inlineStr">
        <is>
          <t>Yapılacak</t>
        </is>
      </c>
    </row>
    <row r="33" ht="41.8" customHeight="1">
      <c r="A33" s="24" t="inlineStr">
        <is>
          <t>Hafta 2</t>
        </is>
      </c>
      <c r="B33" s="24" t="inlineStr">
        <is>
          <t>Gün 8</t>
        </is>
      </c>
      <c r="C33" s="24" t="inlineStr">
        <is>
          <t>W2-T09</t>
        </is>
      </c>
      <c r="D33" s="25" t="inlineStr">
        <is>
          <t>Mobil / Barkod</t>
        </is>
      </c>
      <c r="E33" s="25" t="inlineStr">
        <is>
          <t>Kamera İzinleri ve Native Yapılandırma</t>
        </is>
      </c>
      <c r="F33" s="25" t="inlineStr">
        <is>
          <t>Expo config plugin ile iOS Info.plist NSCameraUsageDescription ve Android CAMERA izni tanımlanır. İzin reddedilirse 'Ayarlara git' yönlendirme ekranı yazılır. Dev client yeniden derlenir.</t>
        </is>
      </c>
      <c r="G33" s="25" t="inlineStr">
        <is>
          <t>İlk açılışta izin diyalogu çıkıyor; reddedilince kullanıcı doğru şekilde yönlendiriliyor.</t>
        </is>
      </c>
      <c r="H33" s="24" t="n">
        <v>1.5</v>
      </c>
      <c r="I33" s="24" t="inlineStr">
        <is>
          <t>Kritik</t>
        </is>
      </c>
      <c r="J33" s="24" t="inlineStr">
        <is>
          <t>W1-T13</t>
        </is>
      </c>
      <c r="K33" s="24" t="inlineStr">
        <is>
          <t>Yapılacak</t>
        </is>
      </c>
    </row>
    <row r="34" ht="67" customHeight="1">
      <c r="A34" s="22" t="inlineStr">
        <is>
          <t>Hafta 2</t>
        </is>
      </c>
      <c r="B34" s="22" t="inlineStr">
        <is>
          <t>Gün 8</t>
        </is>
      </c>
      <c r="C34" s="22" t="inlineStr">
        <is>
          <t>W2-T10</t>
        </is>
      </c>
      <c r="D34" s="23" t="inlineStr">
        <is>
          <t>Mobil / Barkod</t>
        </is>
      </c>
      <c r="E34" s="23" t="inlineStr">
        <is>
          <t>Google ML Kit ile Cihaz Üzerinde Barkod Okuma</t>
        </is>
      </c>
      <c r="F34" s="23" t="inlineStr">
        <is>
          <t>react-native-vision-camera v3 + Code Scanner (arka planda Google ML Kit çalışır, tamamen ücretsiz ve offline). EAN-13, EAN-8, UPC-A formatları etkinleştirilir. Tarama çerçevesi overlay'i, titreşim geri bildirimi ve aynı barkodun tekrar okunmasını engelleyen debounce eklenir.</t>
        </is>
      </c>
      <c r="G34" s="23" t="inlineStr">
        <is>
          <t>Gerçek ürün barkodu 1 saniyenin altında okunuyor; işlem tamamen cihazda (internetsiz) çalışıyor.</t>
        </is>
      </c>
      <c r="H34" s="22" t="n">
        <v>4</v>
      </c>
      <c r="I34" s="22" t="inlineStr">
        <is>
          <t>Kritik</t>
        </is>
      </c>
      <c r="J34" s="22" t="inlineStr">
        <is>
          <t>W2-T09</t>
        </is>
      </c>
      <c r="K34" s="22" t="inlineStr">
        <is>
          <t>Yapılacak</t>
        </is>
      </c>
    </row>
    <row r="35" ht="54.4" customHeight="1">
      <c r="A35" s="24" t="inlineStr">
        <is>
          <t>Hafta 2</t>
        </is>
      </c>
      <c r="B35" s="24" t="inlineStr">
        <is>
          <t>Gün 8-9</t>
        </is>
      </c>
      <c r="C35" s="24" t="inlineStr">
        <is>
          <t>W2-T11</t>
        </is>
      </c>
      <c r="D35" s="25" t="inlineStr">
        <is>
          <t>Entegrasyon</t>
        </is>
      </c>
      <c r="E35" s="25" t="inlineStr">
        <is>
          <t>Barkod -&gt; Ürün -&gt; Kiler Uçtan Uca Akışı</t>
        </is>
      </c>
      <c r="F35" s="25" t="inlineStr">
        <is>
          <t>Okunan barkod POST /pantry/scan ile backend'e gönderilir; backend önce products önbelleğine, yoksa Open Food Facts'e bakar. Sonuç onay ekranında gösterilir (miktar ve birim düzenlenebilir), onaylanınca kilere yazılır.</t>
        </is>
      </c>
      <c r="G35" s="25" t="inlineStr">
        <is>
          <t>Barkod okut -&gt; onayla -&gt; kiler listesinde ürün görünüyor akışı kesintisiz çalışıyor.</t>
        </is>
      </c>
      <c r="H35" s="24" t="n">
        <v>2.5</v>
      </c>
      <c r="I35" s="24" t="inlineStr">
        <is>
          <t>Kritik</t>
        </is>
      </c>
      <c r="J35" s="24" t="inlineStr">
        <is>
          <t>W2-T10</t>
        </is>
      </c>
      <c r="K35" s="24" t="inlineStr">
        <is>
          <t>Yapılacak</t>
        </is>
      </c>
    </row>
    <row r="36" ht="54.4" customHeight="1">
      <c r="A36" s="22" t="inlineStr">
        <is>
          <t>Hafta 2</t>
        </is>
      </c>
      <c r="B36" s="22" t="inlineStr">
        <is>
          <t>Gün 9</t>
        </is>
      </c>
      <c r="C36" s="22" t="inlineStr">
        <is>
          <t>W2-T12</t>
        </is>
      </c>
      <c r="D36" s="23" t="inlineStr">
        <is>
          <t>Kalori</t>
        </is>
      </c>
      <c r="E36" s="23" t="inlineStr">
        <is>
          <t>Öğün Kaydı (Meal Log) API'leri</t>
        </is>
      </c>
      <c r="F36" s="23" t="inlineStr">
        <is>
          <t>POST /meals (öğün tipi: kahvaltı/öğle/akşam/atıştırma; ürün veya tarif referansı; porsiyon), GET /meals/daily?date= (günlük toplam kcal + makro kırılımı), DELETE /meals/{id}. Toplamlar SQL SUM + GROUP BY ile hesaplanır.</t>
        </is>
      </c>
      <c r="G36" s="23" t="inlineStr">
        <is>
          <t>Aynı güne 3 öğün eklendiğinde günlük özet doğru toplamı ve makro kırılımını dönüyor.</t>
        </is>
      </c>
      <c r="H36" s="22" t="n">
        <v>2.5</v>
      </c>
      <c r="I36" s="22" t="inlineStr">
        <is>
          <t>Kritik</t>
        </is>
      </c>
      <c r="J36" s="22" t="inlineStr">
        <is>
          <t>W1-T20</t>
        </is>
      </c>
      <c r="K36" s="22" t="inlineStr">
        <is>
          <t>Yapılacak</t>
        </is>
      </c>
    </row>
    <row r="37" ht="41.8" customHeight="1">
      <c r="A37" s="24" t="inlineStr">
        <is>
          <t>Hafta 2</t>
        </is>
      </c>
      <c r="B37" s="24" t="inlineStr">
        <is>
          <t>Gün 9</t>
        </is>
      </c>
      <c r="C37" s="24" t="inlineStr">
        <is>
          <t>W2-T13</t>
        </is>
      </c>
      <c r="D37" s="25" t="inlineStr">
        <is>
          <t>Mobil / Kalori</t>
        </is>
      </c>
      <c r="E37" s="25" t="inlineStr">
        <is>
          <t>Kalori Sayacı Ana Ekranı</t>
        </is>
      </c>
      <c r="F37" s="25" t="inlineStr">
        <is>
          <t>Günlük hedefe karşı tüketilen kaloriyi gösteren dairesel ilerleme (react-native-svg), protein/karbonhidrat/yağ barları, tarih seçici (dün/bugün), öğün bazlı gruplu liste ve 'kalan kalori' vurgusu.</t>
        </is>
      </c>
      <c r="G37" s="25" t="inlineStr">
        <is>
          <t>Öğün eklendiğinde halka ve makro barları anında güncelleniyor.</t>
        </is>
      </c>
      <c r="H37" s="24" t="n">
        <v>3</v>
      </c>
      <c r="I37" s="24" t="inlineStr">
        <is>
          <t>Kritik</t>
        </is>
      </c>
      <c r="J37" s="24" t="inlineStr">
        <is>
          <t>W2-T12</t>
        </is>
      </c>
      <c r="K37" s="24" t="inlineStr">
        <is>
          <t>Yapılacak</t>
        </is>
      </c>
    </row>
    <row r="38" ht="54.4" customHeight="1">
      <c r="A38" s="22" t="inlineStr">
        <is>
          <t>Hafta 2</t>
        </is>
      </c>
      <c r="B38" s="22" t="inlineStr">
        <is>
          <t>Gün 9-10</t>
        </is>
      </c>
      <c r="C38" s="22" t="inlineStr">
        <is>
          <t>W2-T14</t>
        </is>
      </c>
      <c r="D38" s="23" t="inlineStr">
        <is>
          <t>Kalori</t>
        </is>
      </c>
      <c r="E38" s="23" t="inlineStr">
        <is>
          <t>Gıda Arama ve Porsiyon Girişi</t>
        </is>
      </c>
      <c r="F38" s="23" t="inlineStr">
        <is>
          <t>Open Food Facts arama endpoint'i backend üzerinden proxy'lenir; sonuçlar 100 g bazında listelenir. Kullanıcı gram veya porsiyon girer, kcal orantılı hesaplanır. 'Son eklenenler' ve 'Favoriler' kısayolları eklenir.</t>
        </is>
      </c>
      <c r="G38" s="23" t="inlineStr">
        <is>
          <t>'yoğurt' araması sonuç dönüyor; 150 g seçildiğinde kalori doğru orantılanıyor.</t>
        </is>
      </c>
      <c r="H38" s="22" t="n">
        <v>2.5</v>
      </c>
      <c r="I38" s="22" t="inlineStr">
        <is>
          <t>Yüksek</t>
        </is>
      </c>
      <c r="J38" s="22" t="inlineStr">
        <is>
          <t>W2-T12</t>
        </is>
      </c>
      <c r="K38" s="22" t="inlineStr">
        <is>
          <t>Yapılacak</t>
        </is>
      </c>
    </row>
    <row r="39" ht="54.4" customHeight="1">
      <c r="A39" s="24" t="inlineStr">
        <is>
          <t>Hafta 2</t>
        </is>
      </c>
      <c r="B39" s="24" t="inlineStr">
        <is>
          <t>Gün 10</t>
        </is>
      </c>
      <c r="C39" s="24" t="inlineStr">
        <is>
          <t>W2-T15</t>
        </is>
      </c>
      <c r="D39" s="25" t="inlineStr">
        <is>
          <t>Backend / Liste</t>
        </is>
      </c>
      <c r="E39" s="25" t="inlineStr">
        <is>
          <t>Alışveriş Listesi Veri Modeli ve CRUD</t>
        </is>
      </c>
      <c r="F39" s="25" t="inlineStr">
        <is>
          <t>shopping_list_items: user_id, product_name, canonical_name, quantity, unit, source (manuel/esik/tarif), is_checked, created_at. POST/GET/PATCH/DELETE endpoint'leri ve aynı ürünün mükerrer eklenmesini engelleyen upsert (miktar birleştirme) mantığı.</t>
        </is>
      </c>
      <c r="G39" s="25" t="inlineStr">
        <is>
          <t>Aynı ürün iki kez eklendiğinde tek satırda miktar birleşiyor.</t>
        </is>
      </c>
      <c r="H39" s="24" t="n">
        <v>2</v>
      </c>
      <c r="I39" s="24" t="inlineStr">
        <is>
          <t>Kritik</t>
        </is>
      </c>
      <c r="J39" s="24" t="inlineStr">
        <is>
          <t>W2-T02</t>
        </is>
      </c>
      <c r="K39" s="24" t="inlineStr">
        <is>
          <t>Yapılacak</t>
        </is>
      </c>
    </row>
    <row r="40" ht="54.4" customHeight="1">
      <c r="A40" s="22" t="inlineStr">
        <is>
          <t>Hafta 2</t>
        </is>
      </c>
      <c r="B40" s="22" t="inlineStr">
        <is>
          <t>Gün 10</t>
        </is>
      </c>
      <c r="C40" s="22" t="inlineStr">
        <is>
          <t>W2-T16</t>
        </is>
      </c>
      <c r="D40" s="23" t="inlineStr">
        <is>
          <t>Backend / Liste</t>
        </is>
      </c>
      <c r="E40" s="23" t="inlineStr">
        <is>
          <t>Kritik Eşik Altı Ürünlerin Otomatik Listeye Düşmesi</t>
        </is>
      </c>
      <c r="F40" s="23" t="inlineStr">
        <is>
          <t>Kiler güncelleme servisinde (PATCH /pantry ve stok düşümü) miktar min_threshold altına inerse shopping_list'e source='esik' ile otomatik ekleme yapan servis katmanı yazılır. Mükerrer ekleme kontrolü ve kullanıcıya bildirim eklenir.</t>
        </is>
      </c>
      <c r="G40" s="23" t="inlineStr">
        <is>
          <t>5 kg mercimekten kullanılıp 0.5 kg kalınca ürün otomatik alışveriş listesine düşüyor.</t>
        </is>
      </c>
      <c r="H40" s="22" t="n">
        <v>2</v>
      </c>
      <c r="I40" s="22" t="inlineStr">
        <is>
          <t>Kritik</t>
        </is>
      </c>
      <c r="J40" s="22" t="inlineStr">
        <is>
          <t>W2-T15</t>
        </is>
      </c>
      <c r="K40" s="22" t="inlineStr">
        <is>
          <t>Yapılacak</t>
        </is>
      </c>
    </row>
    <row r="41" ht="41.8" customHeight="1">
      <c r="A41" s="24" t="inlineStr">
        <is>
          <t>Hafta 2</t>
        </is>
      </c>
      <c r="B41" s="24" t="inlineStr">
        <is>
          <t>Gün 10</t>
        </is>
      </c>
      <c r="C41" s="24" t="inlineStr">
        <is>
          <t>W2-T17</t>
        </is>
      </c>
      <c r="D41" s="25" t="inlineStr">
        <is>
          <t>Test</t>
        </is>
      </c>
      <c r="E41" s="25" t="inlineStr">
        <is>
          <t>Hafta 2 Entegrasyon Testi ve Hata Ayıklama</t>
        </is>
      </c>
      <c r="F41" s="25" t="inlineStr">
        <is>
          <t>Barkod okuma, manuel ekleme, kalori kaydı ve eşik senaryolarının gerçek cihazda uçtan uca denenmesi; bulunan hataların GitHub Issues'a yazılıp kapatılması; hafta demosunun kaydedilmesi.</t>
        </is>
      </c>
      <c r="G41" s="25" t="inlineStr">
        <is>
          <t>Kritik seviyede açık hata kalmadı; demo videosu/GIF alındı.</t>
        </is>
      </c>
      <c r="H41" s="24" t="n">
        <v>1.5</v>
      </c>
      <c r="I41" s="24" t="inlineStr">
        <is>
          <t>Yüksek</t>
        </is>
      </c>
      <c r="J41" s="24" t="inlineStr">
        <is>
          <t>W2-T16</t>
        </is>
      </c>
      <c r="K41" s="24" t="inlineStr">
        <is>
          <t>Yapılacak</t>
        </is>
      </c>
    </row>
    <row r="42" ht="41.8" customHeight="1">
      <c r="A42" s="22" t="inlineStr">
        <is>
          <t>Hafta 3</t>
        </is>
      </c>
      <c r="B42" s="22" t="inlineStr">
        <is>
          <t>Gün 11</t>
        </is>
      </c>
      <c r="C42" s="22" t="inlineStr">
        <is>
          <t>W3-T01</t>
        </is>
      </c>
      <c r="D42" s="23" t="inlineStr">
        <is>
          <t>Backend / Tarif</t>
        </is>
      </c>
      <c r="E42" s="23" t="inlineStr">
        <is>
          <t>Tarif Listeleme ve Detay API'leri (MongoDB)</t>
        </is>
      </c>
      <c r="F42" s="23" t="inlineStr">
        <is>
          <t>motor ile async sorgular: GET /recipes (sayfalama, cuisine ve diet_tags filtresi, metin araması), GET /recipes/{id}. Projection kullanılarak kart için gereken alanlar dönülür, payload küçültülür.</t>
        </is>
      </c>
      <c r="G42" s="23" t="inlineStr">
        <is>
          <t>50 tarif 300 ms altında dönüyor; detay endpoint'i tam dokümanı veriyor.</t>
        </is>
      </c>
      <c r="H42" s="22" t="n">
        <v>2.5</v>
      </c>
      <c r="I42" s="22" t="inlineStr">
        <is>
          <t>Kritik</t>
        </is>
      </c>
      <c r="J42" s="22" t="inlineStr">
        <is>
          <t>W1-T11</t>
        </is>
      </c>
      <c r="K42" s="22" t="inlineStr">
        <is>
          <t>Yapılacak</t>
        </is>
      </c>
    </row>
    <row r="43" ht="54.4" customHeight="1">
      <c r="A43" s="24" t="inlineStr">
        <is>
          <t>Hafta 3</t>
        </is>
      </c>
      <c r="B43" s="24" t="inlineStr">
        <is>
          <t>Gün 11</t>
        </is>
      </c>
      <c r="C43" s="24" t="inlineStr">
        <is>
          <t>W3-T02</t>
        </is>
      </c>
      <c r="D43" s="25" t="inlineStr">
        <is>
          <t>Algoritma</t>
        </is>
      </c>
      <c r="E43" s="25" t="inlineStr">
        <is>
          <t>Malzeme Eşleştirme ve Bulanık Arama Fonksiyonu</t>
        </is>
      </c>
      <c r="F43" s="25" t="inlineStr">
        <is>
          <t>rapidfuzz token_set_ratio ile 'kırmızı mercimek' &lt;-&gt; 'mercimek (kırmızı)' eşleşmesi sağlanır. Önce canonical_name üzerinden tam eşleşme denenir, tutmazsa %85 üzeri benzerlikte bulanık eşleşme kabul edilir. Fonksiyon saf (pure) yazılıp pytest ile 20+ vaka test edilir.</t>
        </is>
      </c>
      <c r="G43" s="25" t="inlineStr">
        <is>
          <t>Test setinde malzeme eşleştirme doğruluğu %90'ın üzerinde.</t>
        </is>
      </c>
      <c r="H43" s="24" t="n">
        <v>2.5</v>
      </c>
      <c r="I43" s="24" t="inlineStr">
        <is>
          <t>Kritik</t>
        </is>
      </c>
      <c r="J43" s="24" t="inlineStr">
        <is>
          <t>W1-T12</t>
        </is>
      </c>
      <c r="K43" s="24" t="inlineStr">
        <is>
          <t>Yapılacak</t>
        </is>
      </c>
    </row>
    <row r="44" ht="54.4" customHeight="1">
      <c r="A44" s="22" t="inlineStr">
        <is>
          <t>Hafta 3</t>
        </is>
      </c>
      <c r="B44" s="22" t="inlineStr">
        <is>
          <t>Gün 11-12</t>
        </is>
      </c>
      <c r="C44" s="22" t="inlineStr">
        <is>
          <t>W3-T03</t>
        </is>
      </c>
      <c r="D44" s="23" t="inlineStr">
        <is>
          <t>Algoritma</t>
        </is>
      </c>
      <c r="E44" s="23" t="inlineStr">
        <is>
          <t>Kiler-Tarif Eşleşme Skoru (MongoDB Aggregation)</t>
        </is>
      </c>
      <c r="F44" s="23" t="inlineStr">
        <is>
          <t>Kullanıcının kiler listesi SQLite'tan canonical_name dizisi olarak çekilir. MongoDB aggregation pipeline: $addFields + $setIntersection ile eşleşen malzeme sayısı bulunur, match_ratio = eşleşen / toplam hesaplanır, $sort ile azalan sıralanır ve $limit uygulanır.</t>
        </is>
      </c>
      <c r="G44" s="23" t="inlineStr">
        <is>
          <t>'Elimde ne var?' sorgusu, eşleşme yüzdesiyle sıralı tarif listesi dönüyor.</t>
        </is>
      </c>
      <c r="H44" s="22" t="n">
        <v>3.5</v>
      </c>
      <c r="I44" s="22" t="inlineStr">
        <is>
          <t>Kritik</t>
        </is>
      </c>
      <c r="J44" s="22" t="inlineStr">
        <is>
          <t>W3-T02</t>
        </is>
      </c>
      <c r="K44" s="22" t="inlineStr">
        <is>
          <t>Yapılacak</t>
        </is>
      </c>
    </row>
    <row r="45" ht="54.4" customHeight="1">
      <c r="A45" s="24" t="inlineStr">
        <is>
          <t>Hafta 3</t>
        </is>
      </c>
      <c r="B45" s="24" t="inlineStr">
        <is>
          <t>Gün 12</t>
        </is>
      </c>
      <c r="C45" s="24" t="inlineStr">
        <is>
          <t>W3-T04</t>
        </is>
      </c>
      <c r="D45" s="25" t="inlineStr">
        <is>
          <t>Algoritma</t>
        </is>
      </c>
      <c r="E45" s="25" t="inlineStr">
        <is>
          <t>Diyet, Alerjen ve Kalori Filtre Katmanı</t>
        </is>
      </c>
      <c r="F45" s="25" t="inlineStr">
        <is>
          <t>Kullanıcının vegan/vejetaryen/glutensiz tercihine göre diet_tags $in filtresi; alerjen listesi için allergens $nin filtresi; günün kalan kalorisi hesaplanarak calories_per_serving &lt;= kalan_kalori koşulu uygulanır. Filtreler zincirlenebilir tasarlanır.</t>
        </is>
      </c>
      <c r="G45" s="25" t="inlineStr">
        <is>
          <t>Vegan kullanıcıya hiçbir koşulda etli tarif dönmüyor (otomatik test ile kanıtlı).</t>
        </is>
      </c>
      <c r="H45" s="24" t="n">
        <v>3</v>
      </c>
      <c r="I45" s="24" t="inlineStr">
        <is>
          <t>Kritik</t>
        </is>
      </c>
      <c r="J45" s="24" t="inlineStr">
        <is>
          <t>W3-T03</t>
        </is>
      </c>
      <c r="K45" s="24" t="inlineStr">
        <is>
          <t>Yapılacak</t>
        </is>
      </c>
    </row>
    <row r="46" ht="67" customHeight="1">
      <c r="A46" s="22" t="inlineStr">
        <is>
          <t>Hafta 3</t>
        </is>
      </c>
      <c r="B46" s="22" t="inlineStr">
        <is>
          <t>Gün 12</t>
        </is>
      </c>
      <c r="C46" s="22" t="inlineStr">
        <is>
          <t>W3-T05</t>
        </is>
      </c>
      <c r="D46" s="23" t="inlineStr">
        <is>
          <t>Algoritma</t>
        </is>
      </c>
      <c r="E46" s="23" t="inlineStr">
        <is>
          <t>Ağırlıklı Öneri Skorlaması ve Sıralama (Rule-Based)</t>
        </is>
      </c>
      <c r="F46" s="23" t="inlineStr">
        <is>
          <t>final_score = 0.55*kiler_eslesme + 0.20*kalori_uygunlugu + 0.15*kullanici_begeni_agirligi + 0.10*sure_uygunlugu. Ağırlıklar config'ten okunur (deney yapılabilsin). Açıklanabilirlik için skor kırılımı response'a eklenir. Derin öğrenme yerine kural tabanlı yaklaşım maliyeti sıfırlar.</t>
        </is>
      </c>
      <c r="G46" s="23" t="inlineStr">
        <is>
          <t>Skor sıralaması tekrarlanabilir; skor kırılımı API yanıtında görünüyor.</t>
        </is>
      </c>
      <c r="H46" s="22" t="n">
        <v>2.5</v>
      </c>
      <c r="I46" s="22" t="inlineStr">
        <is>
          <t>Kritik</t>
        </is>
      </c>
      <c r="J46" s="22" t="inlineStr">
        <is>
          <t>W3-T04</t>
        </is>
      </c>
      <c r="K46" s="22" t="inlineStr">
        <is>
          <t>Yapılacak</t>
        </is>
      </c>
    </row>
    <row r="47" ht="54.4" customHeight="1">
      <c r="A47" s="24" t="inlineStr">
        <is>
          <t>Hafta 3</t>
        </is>
      </c>
      <c r="B47" s="24" t="inlineStr">
        <is>
          <t>Gün 12-13</t>
        </is>
      </c>
      <c r="C47" s="24" t="inlineStr">
        <is>
          <t>W3-T06</t>
        </is>
      </c>
      <c r="D47" s="25" t="inlineStr">
        <is>
          <t>Algoritma</t>
        </is>
      </c>
      <c r="E47" s="25" t="inlineStr">
        <is>
          <t>Kendini Eğiten Profil (Geri Bildirim Döngüsü)</t>
        </is>
      </c>
      <c r="F47" s="25" t="inlineStr">
        <is>
          <t>recipe_feedback tablosu: begendim / begenmedim / yaptim. Her geri bildirimde tarifin cuisine ve diet_tags etiketleri için kullanıcı ağırlık vektörü üstel hareketli ortalama ile güncellenir. Bu vektör W3-T05 skorlamasında kullanılır; uygulama kullandıkça kişiselleşir.</t>
        </is>
      </c>
      <c r="G47" s="25" t="inlineStr">
        <is>
          <t>5 'beğendim' sonrası ilgili mutfak türü öneri listesinde belirgin şekilde yukarı çıkıyor.</t>
        </is>
      </c>
      <c r="H47" s="24" t="n">
        <v>2.5</v>
      </c>
      <c r="I47" s="24" t="inlineStr">
        <is>
          <t>Yüksek</t>
        </is>
      </c>
      <c r="J47" s="24" t="inlineStr">
        <is>
          <t>W3-T05</t>
        </is>
      </c>
      <c r="K47" s="24" t="inlineStr">
        <is>
          <t>Yapılacak</t>
        </is>
      </c>
    </row>
    <row r="48" ht="54.4" customHeight="1">
      <c r="A48" s="22" t="inlineStr">
        <is>
          <t>Hafta 3</t>
        </is>
      </c>
      <c r="B48" s="22" t="inlineStr">
        <is>
          <t>Gün 13</t>
        </is>
      </c>
      <c r="C48" s="22" t="inlineStr">
        <is>
          <t>W3-T07</t>
        </is>
      </c>
      <c r="D48" s="23" t="inlineStr">
        <is>
          <t>Mobil / Tarif</t>
        </is>
      </c>
      <c r="E48" s="23" t="inlineStr">
        <is>
          <t>Tarif Kartı Listesi Ekranı</t>
        </is>
      </c>
      <c r="F48" s="23" t="inlineStr">
        <is>
          <t>Kart içeriği: görsel, başlık, kalori/porsiyon, hazırlık süresi, zorluk ve 'Kilerinle %85 uyumlu' rozeti. Yatay hızlı filtreler (Vegan / 30 dk altı / Düşük kalori). Görseller expo-image ile önbelleklenir.</t>
        </is>
      </c>
      <c r="G48" s="23" t="inlineStr">
        <is>
          <t>Kartlar akıcı kayıyor; eşleşme rozeti backend'den gelen doğru yüzdeyi gösteriyor.</t>
        </is>
      </c>
      <c r="H48" s="22" t="n">
        <v>2.5</v>
      </c>
      <c r="I48" s="22" t="inlineStr">
        <is>
          <t>Kritik</t>
        </is>
      </c>
      <c r="J48" s="22" t="inlineStr">
        <is>
          <t>W3-T05</t>
        </is>
      </c>
      <c r="K48" s="22" t="inlineStr">
        <is>
          <t>Yapılacak</t>
        </is>
      </c>
    </row>
    <row r="49" ht="41.8" customHeight="1">
      <c r="A49" s="24" t="inlineStr">
        <is>
          <t>Hafta 3</t>
        </is>
      </c>
      <c r="B49" s="24" t="inlineStr">
        <is>
          <t>Gün 13</t>
        </is>
      </c>
      <c r="C49" s="24" t="inlineStr">
        <is>
          <t>W3-T08</t>
        </is>
      </c>
      <c r="D49" s="25" t="inlineStr">
        <is>
          <t>Mobil / Tarif</t>
        </is>
      </c>
      <c r="E49" s="25" t="inlineStr">
        <is>
          <t>Tarif Detay Ekranı</t>
        </is>
      </c>
      <c r="F49" s="25" t="inlineStr">
        <is>
          <t>Malzeme listesi, numaralı yapılış adımları, kalori ve makro bilgisi, hazırlık + pişirme süresi, porsiyon bilgisi. Sticky alt buton: 'Bu Tarifi Yaptım'. Adımlar için ilerleme işaretleme.</t>
        </is>
      </c>
      <c r="G49" s="25" t="inlineStr">
        <is>
          <t>Tarif detayı eksiksiz görüntüleniyor; geri dönüşte liste kaydırma konumu korunuyor.</t>
        </is>
      </c>
      <c r="H49" s="24" t="n">
        <v>2.5</v>
      </c>
      <c r="I49" s="24" t="inlineStr">
        <is>
          <t>Kritik</t>
        </is>
      </c>
      <c r="J49" s="24" t="inlineStr">
        <is>
          <t>W3-T07</t>
        </is>
      </c>
      <c r="K49" s="24" t="inlineStr">
        <is>
          <t>Yapılacak</t>
        </is>
      </c>
    </row>
    <row r="50" ht="54.4" customHeight="1">
      <c r="A50" s="22" t="inlineStr">
        <is>
          <t>Hafta 3</t>
        </is>
      </c>
      <c r="B50" s="22" t="inlineStr">
        <is>
          <t>Gün 13</t>
        </is>
      </c>
      <c r="C50" s="22" t="inlineStr">
        <is>
          <t>W3-T09</t>
        </is>
      </c>
      <c r="D50" s="23" t="inlineStr">
        <is>
          <t>Mobil / Tarif</t>
        </is>
      </c>
      <c r="E50" s="23" t="inlineStr">
        <is>
          <t>Porsiyon (Kaç Kişilik) Ayarı ve Ölçekleme</t>
        </is>
      </c>
      <c r="F50" s="23" t="inlineStr">
        <is>
          <t>Stepper ile 1-10 kişi seçimi. scale = secilen_kisi / recipe.servings; malzeme miktarları ve kalori bu çarpanla anlık yeniden hesaplanır. Ondalıklar okunabilir yuvarlanır (0.5 su bardağı, 1.5 yemek kaşığı gibi).</t>
        </is>
      </c>
      <c r="G50" s="23" t="inlineStr">
        <is>
          <t>4 kişilik seçildiğinde tüm malzeme miktarları ve kalori doğru katlanıyor.</t>
        </is>
      </c>
      <c r="H50" s="22" t="n">
        <v>2</v>
      </c>
      <c r="I50" s="22" t="inlineStr">
        <is>
          <t>Yüksek</t>
        </is>
      </c>
      <c r="J50" s="22" t="inlineStr">
        <is>
          <t>W3-T08</t>
        </is>
      </c>
      <c r="K50" s="22" t="inlineStr">
        <is>
          <t>Yapılacak</t>
        </is>
      </c>
    </row>
    <row r="51" ht="67" customHeight="1">
      <c r="A51" s="24" t="inlineStr">
        <is>
          <t>Hafta 3</t>
        </is>
      </c>
      <c r="B51" s="24" t="inlineStr">
        <is>
          <t>Gün 14</t>
        </is>
      </c>
      <c r="C51" s="24" t="inlineStr">
        <is>
          <t>W3-T10</t>
        </is>
      </c>
      <c r="D51" s="25" t="inlineStr">
        <is>
          <t>AI / LLM</t>
        </is>
      </c>
      <c r="E51" s="25" t="inlineStr">
        <is>
          <t>Groq (LLaMA 3) API Servis Katmanı</t>
        </is>
      </c>
      <c r="F51" s="25" t="inlineStr">
        <is>
          <t>Groq hesabı açılır, API anahtarı .env'e alınır. services/llm.py: model seçimi (llama-3.1-8b-instant), temperature, max_tokens, timeout, 429/500 için exponential backoff ve token kullanım logu. Sağlayıcı değişebilsin diye arayüz soyutlanır (OpenAI'ye geçiş tek satır olur).</t>
        </is>
      </c>
      <c r="G51" s="25" t="inlineStr">
        <is>
          <t>Basit bir prompt'a 2 saniyenin altında yanıt dönüyor; hata durumları yakalanıyor.</t>
        </is>
      </c>
      <c r="H51" s="24" t="n">
        <v>2.5</v>
      </c>
      <c r="I51" s="24" t="inlineStr">
        <is>
          <t>Kritik</t>
        </is>
      </c>
      <c r="J51" s="24" t="inlineStr">
        <is>
          <t>W1-T03</t>
        </is>
      </c>
      <c r="K51" s="24" t="inlineStr">
        <is>
          <t>Yapılacak</t>
        </is>
      </c>
    </row>
    <row r="52" ht="67" customHeight="1">
      <c r="A52" s="22" t="inlineStr">
        <is>
          <t>Hafta 3</t>
        </is>
      </c>
      <c r="B52" s="22" t="inlineStr">
        <is>
          <t>Gün 14</t>
        </is>
      </c>
      <c r="C52" s="22" t="inlineStr">
        <is>
          <t>W3-T11</t>
        </is>
      </c>
      <c r="D52" s="23" t="inlineStr">
        <is>
          <t>AI / RAG</t>
        </is>
      </c>
      <c r="E52" s="23" t="inlineStr">
        <is>
          <t>RAG Retrieval (Bağlam Toplama) Katmanı</t>
        </is>
      </c>
      <c r="F52" s="23" t="inlineStr">
        <is>
          <t>Kullanıcı mesajı geldiğinde: (1) niyet çıkarımı (hafif / tok tutan / hızlı / tatlı), (2) SQLite'tan kiler + profil + kalan kalori çekilir, (3) W3-T03/T04 filtreleriyle en iyi 5-8 tarif alınır, (4) bunlar kompakt JSON olarak prompt bağlamına gömülür. Token maliyetini düşürmek için sadece gerekli alanlar gönderilir.</t>
        </is>
      </c>
      <c r="G52" s="23" t="inlineStr">
        <is>
          <t>Bağlam boyutu 1500 token altında kalıyor ve doğru tarifleri içeriyor.</t>
        </is>
      </c>
      <c r="H52" s="22" t="n">
        <v>3</v>
      </c>
      <c r="I52" s="22" t="inlineStr">
        <is>
          <t>Kritik</t>
        </is>
      </c>
      <c r="J52" s="22" t="inlineStr">
        <is>
          <t>W3-T05</t>
        </is>
      </c>
      <c r="K52" s="22" t="inlineStr">
        <is>
          <t>Yapılacak</t>
        </is>
      </c>
    </row>
    <row r="53" ht="54.4" customHeight="1">
      <c r="A53" s="24" t="inlineStr">
        <is>
          <t>Hafta 3</t>
        </is>
      </c>
      <c r="B53" s="24" t="inlineStr">
        <is>
          <t>Gün 14</t>
        </is>
      </c>
      <c r="C53" s="24" t="inlineStr">
        <is>
          <t>W3-T12</t>
        </is>
      </c>
      <c r="D53" s="25" t="inlineStr">
        <is>
          <t>AI / RAG</t>
        </is>
      </c>
      <c r="E53" s="25" t="inlineStr">
        <is>
          <t>Sistem Promptu ve Prompt Mühendisliği</t>
        </is>
      </c>
      <c r="F53" s="25" t="inlineStr">
        <is>
          <t>Rol tanımı (Türkçe konuşan mutfak ve beslenme asistanı), katı kurallar (yalnızca verilen tariflerden öner, tarif uydurma, alerjen içeren tarifi asla önerme, kalan kaloriyi aşma), çıktı sözleşmesi (JSON: {mesaj, onerilen_tarif_idleri[]}). 2-3 few-shot örneği eklenir.</t>
        </is>
      </c>
      <c r="G53" s="25" t="inlineStr">
        <is>
          <t>'Bugün hafif bir şey istiyorum' sorusuna, bağlamdaki tariflerden geçerli JSON dönüyor.</t>
        </is>
      </c>
      <c r="H53" s="24" t="n">
        <v>3</v>
      </c>
      <c r="I53" s="24" t="inlineStr">
        <is>
          <t>Kritik</t>
        </is>
      </c>
      <c r="J53" s="24" t="inlineStr">
        <is>
          <t>W3-T11</t>
        </is>
      </c>
      <c r="K53" s="24" t="inlineStr">
        <is>
          <t>Yapılacak</t>
        </is>
      </c>
    </row>
    <row r="54" ht="54.4" customHeight="1">
      <c r="A54" s="22" t="inlineStr">
        <is>
          <t>Hafta 3</t>
        </is>
      </c>
      <c r="B54" s="22" t="inlineStr">
        <is>
          <t>Gün 14-15</t>
        </is>
      </c>
      <c r="C54" s="22" t="inlineStr">
        <is>
          <t>W3-T13</t>
        </is>
      </c>
      <c r="D54" s="23" t="inlineStr">
        <is>
          <t>AI / Maliyet</t>
        </is>
      </c>
      <c r="E54" s="23" t="inlineStr">
        <is>
          <t>LLM Yanıt Önbelleği ve Maliyet Kontrolü</t>
        </is>
      </c>
      <c r="F54" s="23" t="inlineStr">
        <is>
          <t>Normalize edilmiş soru + kiler parmak izi (hash) anahtarıyla yanıt önbelleğe alınır (SQLite tablosu veya Redis). Aynı bağlamda aynı soru API'ye gitmeden yanıtlanır. Kullanıcı başına günlük istek limiti ve token bütçesi tanımlanır.</t>
        </is>
      </c>
      <c r="G54" s="23" t="inlineStr">
        <is>
          <t>Aynı soru ikinci kez sorulduğunda dış API çağrısı yapılmıyor; yanıt 200 ms altında dönüyor.</t>
        </is>
      </c>
      <c r="H54" s="22" t="n">
        <v>2</v>
      </c>
      <c r="I54" s="22" t="inlineStr">
        <is>
          <t>Yüksek</t>
        </is>
      </c>
      <c r="J54" s="22" t="inlineStr">
        <is>
          <t>W3-T12</t>
        </is>
      </c>
      <c r="K54" s="22" t="inlineStr">
        <is>
          <t>Yapılacak</t>
        </is>
      </c>
    </row>
    <row r="55" ht="54.4" customHeight="1">
      <c r="A55" s="24" t="inlineStr">
        <is>
          <t>Hafta 3</t>
        </is>
      </c>
      <c r="B55" s="24" t="inlineStr">
        <is>
          <t>Gün 15</t>
        </is>
      </c>
      <c r="C55" s="24" t="inlineStr">
        <is>
          <t>W3-T14</t>
        </is>
      </c>
      <c r="D55" s="25" t="inlineStr">
        <is>
          <t>Mobil / Chatbot</t>
        </is>
      </c>
      <c r="E55" s="25" t="inlineStr">
        <is>
          <t>Chatbot Sohbet Arayüzü</t>
        </is>
      </c>
      <c r="F55" s="25" t="inlineStr">
        <is>
          <t>Mesaj baloncukları (kullanıcı/asistan), otomatik kaydırma, 'yazıyor...' göstergesi, hazır soru çipleri ('Hafif bir şey öner', 'Kilerimde ne pişirebilirim?', '20 dakikada ne yaparım?'), hata ve boş durum ekranları. Sohbet geçmişi yerelde saklanır.</t>
        </is>
      </c>
      <c r="G55" s="25" t="inlineStr">
        <is>
          <t>Soru gönderilip yanıt ekranda gösteriliyor; klavye davranışı ve kaydırma sorunsuz.</t>
        </is>
      </c>
      <c r="H55" s="24" t="n">
        <v>3</v>
      </c>
      <c r="I55" s="24" t="inlineStr">
        <is>
          <t>Kritik</t>
        </is>
      </c>
      <c r="J55" s="24" t="inlineStr">
        <is>
          <t>W3-T12</t>
        </is>
      </c>
      <c r="K55" s="24" t="inlineStr">
        <is>
          <t>Yapılacak</t>
        </is>
      </c>
    </row>
    <row r="56" ht="41.8" customHeight="1">
      <c r="A56" s="22" t="inlineStr">
        <is>
          <t>Hafta 3</t>
        </is>
      </c>
      <c r="B56" s="22" t="inlineStr">
        <is>
          <t>Gün 15</t>
        </is>
      </c>
      <c r="C56" s="22" t="inlineStr">
        <is>
          <t>W3-T15</t>
        </is>
      </c>
      <c r="D56" s="23" t="inlineStr">
        <is>
          <t>Mobil / Chatbot</t>
        </is>
      </c>
      <c r="E56" s="23" t="inlineStr">
        <is>
          <t>Chatbot Yanıtından Tarif Kartına Derin Bağlantı</t>
        </is>
      </c>
      <c r="F56" s="23" t="inlineStr">
        <is>
          <t>LLM'in döndürdüğü onerilen_tarif_idleri, sohbet akışı içinde mini tarif kartlarına dönüştürülür; karta tıklanınca Tarif Detay ekranına deep link ile gidilir.</t>
        </is>
      </c>
      <c r="G56" s="23" t="inlineStr">
        <is>
          <t>Sohbetteki karta tıklayınca doğru tarif detayı açılıyor.</t>
        </is>
      </c>
      <c r="H56" s="22" t="n">
        <v>2</v>
      </c>
      <c r="I56" s="22" t="inlineStr">
        <is>
          <t>Yüksek</t>
        </is>
      </c>
      <c r="J56" s="22" t="inlineStr">
        <is>
          <t>W3-T14</t>
        </is>
      </c>
      <c r="K56" s="22" t="inlineStr">
        <is>
          <t>Yapılacak</t>
        </is>
      </c>
    </row>
    <row r="57" ht="41.8" customHeight="1">
      <c r="A57" s="24" t="inlineStr">
        <is>
          <t>Hafta 3</t>
        </is>
      </c>
      <c r="B57" s="24" t="inlineStr">
        <is>
          <t>Gün 15</t>
        </is>
      </c>
      <c r="C57" s="24" t="inlineStr">
        <is>
          <t>W3-T16</t>
        </is>
      </c>
      <c r="D57" s="25" t="inlineStr">
        <is>
          <t>Test</t>
        </is>
      </c>
      <c r="E57" s="25" t="inlineStr">
        <is>
          <t>Hafta 3 Algoritma Doğrulama ve Ölçüm</t>
        </is>
      </c>
      <c r="F57" s="25" t="inlineStr">
        <is>
          <t>10 farklı kiler senaryosuyla öneri kalitesi elle puanlanır; yanlış eşleşmeler malzeme sözlüğüne (W1-T12) geri beslenir. LLM yanıt süresi, token tüketimi ve tahmini maliyet kayıt altına alınır.</t>
        </is>
      </c>
      <c r="G57" s="25" t="inlineStr">
        <is>
          <t>Öneri isabet oranı, ortalama yanıt süresi ve token maliyeti tabloya işlendi.</t>
        </is>
      </c>
      <c r="H57" s="24" t="n">
        <v>2</v>
      </c>
      <c r="I57" s="24" t="inlineStr">
        <is>
          <t>Orta</t>
        </is>
      </c>
      <c r="J57" s="24" t="inlineStr">
        <is>
          <t>W3-T15</t>
        </is>
      </c>
      <c r="K57" s="24" t="inlineStr">
        <is>
          <t>Yapılacak</t>
        </is>
      </c>
    </row>
    <row r="58" ht="67" customHeight="1">
      <c r="A58" s="22" t="inlineStr">
        <is>
          <t>Hafta 4</t>
        </is>
      </c>
      <c r="B58" s="22" t="inlineStr">
        <is>
          <t>Gün 16</t>
        </is>
      </c>
      <c r="C58" s="22" t="inlineStr">
        <is>
          <t>W4-T01</t>
        </is>
      </c>
      <c r="D58" s="23" t="inlineStr">
        <is>
          <t>Backend / Tarif</t>
        </is>
      </c>
      <c r="E58" s="23" t="inlineStr">
        <is>
          <t>Malzeme Durum Servisi (Yeşil / Kırmızı / Gri)</t>
        </is>
      </c>
      <c r="F58" s="23" t="inlineStr">
        <is>
          <t>GET /recipes/{id}/ingredient-status: tarifin her malzemesi kilerle çapraz kontrol edilir. Kilerde YETERLİ miktar varsa 'available' (yeşil), kilerde yok veya miktar yetersizse 'missing' (kırmızı), malzeme sözlüğünde karşılığı/verisi yoksa 'unknown' (gri) döner. Karşılaştırma birim dönüşümüyle yapılır.</t>
        </is>
      </c>
      <c r="G58" s="23" t="inlineStr">
        <is>
          <t>Üç durum da gerçek veriyle doğrulandı; yetersiz miktar 'kırmızı' olarak işaretleniyor.</t>
        </is>
      </c>
      <c r="H58" s="22" t="n">
        <v>3</v>
      </c>
      <c r="I58" s="22" t="inlineStr">
        <is>
          <t>Kritik</t>
        </is>
      </c>
      <c r="J58" s="22" t="inlineStr">
        <is>
          <t>W3-T02</t>
        </is>
      </c>
      <c r="K58" s="22" t="inlineStr">
        <is>
          <t>Yapılacak</t>
        </is>
      </c>
    </row>
    <row r="59" ht="54.4" customHeight="1">
      <c r="A59" s="24" t="inlineStr">
        <is>
          <t>Hafta 4</t>
        </is>
      </c>
      <c r="B59" s="24" t="inlineStr">
        <is>
          <t>Gün 16</t>
        </is>
      </c>
      <c r="C59" s="24" t="inlineStr">
        <is>
          <t>W4-T02</t>
        </is>
      </c>
      <c r="D59" s="25" t="inlineStr">
        <is>
          <t>Mobil / Tarif</t>
        </is>
      </c>
      <c r="E59" s="25" t="inlineStr">
        <is>
          <t>Renkli Malzeme Kartlarının Arayüzde Gösterimi</t>
        </is>
      </c>
      <c r="F59" s="25" t="inlineStr">
        <is>
          <t>Tarif detayında malzeme satırları semantik renklerle gösterilir: yeşil (#2E7D32) var, kırmızı (#C62828) yok, gri (#9E9E9E) veri yok. Renk körlüğü için renge ek olarak ikon ve metin etiketi konur; kısa bir açıklama (legend) eklenir.</t>
        </is>
      </c>
      <c r="G59" s="25" t="inlineStr">
        <is>
          <t>Kart açıldığında renkler doğru; erişilebilirlik için yalnızca renge bağımlılık yok.</t>
        </is>
      </c>
      <c r="H59" s="24" t="n">
        <v>2.5</v>
      </c>
      <c r="I59" s="24" t="inlineStr">
        <is>
          <t>Kritik</t>
        </is>
      </c>
      <c r="J59" s="24" t="inlineStr">
        <is>
          <t>W4-T01</t>
        </is>
      </c>
      <c r="K59" s="24" t="inlineStr">
        <is>
          <t>Yapılacak</t>
        </is>
      </c>
    </row>
    <row r="60" ht="67" customHeight="1">
      <c r="A60" s="22" t="inlineStr">
        <is>
          <t>Hafta 4</t>
        </is>
      </c>
      <c r="B60" s="22" t="inlineStr">
        <is>
          <t>Gün 16-17</t>
        </is>
      </c>
      <c r="C60" s="22" t="inlineStr">
        <is>
          <t>W4-T03</t>
        </is>
      </c>
      <c r="D60" s="23" t="inlineStr">
        <is>
          <t>Backend / Kiler</t>
        </is>
      </c>
      <c r="E60" s="23" t="inlineStr">
        <is>
          <t>'Bu Tarifi Yaptım' -&gt; Kilerden Otomatik Stok Düşümü</t>
        </is>
      </c>
      <c r="F60" s="23" t="inlineStr">
        <is>
          <t>POST /recipes/{id}/cook: porsiyon çarpanı uygulanmış malzeme miktarları birim dönüşümüyle kilerden düşülür (tek transaction içinde). Miktar 0'a inerse kayıt pasifleştirilir, min_threshold altına inerse alışveriş listesi tetiklenir. Kısmi hata durumunda rollback yapılır.</t>
        </is>
      </c>
      <c r="G60" s="23" t="inlineStr">
        <is>
          <t>Mercimekli yemek yapıldığında 5 kg'dan doğru miktar düşüyor ve eşik tetikleniyor.</t>
        </is>
      </c>
      <c r="H60" s="22" t="n">
        <v>3.5</v>
      </c>
      <c r="I60" s="22" t="inlineStr">
        <is>
          <t>Kritik</t>
        </is>
      </c>
      <c r="J60" s="22" t="inlineStr">
        <is>
          <t>W2-T16</t>
        </is>
      </c>
      <c r="K60" s="22" t="inlineStr">
        <is>
          <t>Yapılacak</t>
        </is>
      </c>
    </row>
    <row r="61" ht="41.8" customHeight="1">
      <c r="A61" s="24" t="inlineStr">
        <is>
          <t>Hafta 4</t>
        </is>
      </c>
      <c r="B61" s="24" t="inlineStr">
        <is>
          <t>Gün 17</t>
        </is>
      </c>
      <c r="C61" s="24" t="inlineStr">
        <is>
          <t>W4-T04</t>
        </is>
      </c>
      <c r="D61" s="25" t="inlineStr">
        <is>
          <t>Kalori</t>
        </is>
      </c>
      <c r="E61" s="25" t="inlineStr">
        <is>
          <t>Yapılan Yemeğin Kalori Günlüğüne Otomatik Yazılması</t>
        </is>
      </c>
      <c r="F61" s="25" t="inlineStr">
        <is>
          <t>cook işlemi sırasında seçilen porsiyon sayısı kadar kalori ve makro meal_logs'a otomatik eklenir; kullanıcıya öğün tipi sorulur. Kiler düşümü ve kalori kaydı tek atomik akışta yürütülür.</t>
        </is>
      </c>
      <c r="G61" s="25" t="inlineStr">
        <is>
          <t>'Yaptım' denince hem kiler azalıyor hem günlük kalori artıyor.</t>
        </is>
      </c>
      <c r="H61" s="24" t="n">
        <v>1.5</v>
      </c>
      <c r="I61" s="24" t="inlineStr">
        <is>
          <t>Yüksek</t>
        </is>
      </c>
      <c r="J61" s="24" t="inlineStr">
        <is>
          <t>W4-T03</t>
        </is>
      </c>
      <c r="K61" s="24" t="inlineStr">
        <is>
          <t>Yapılacak</t>
        </is>
      </c>
    </row>
    <row r="62" ht="41.8" customHeight="1">
      <c r="A62" s="22" t="inlineStr">
        <is>
          <t>Hafta 4</t>
        </is>
      </c>
      <c r="B62" s="22" t="inlineStr">
        <is>
          <t>Gün 17</t>
        </is>
      </c>
      <c r="C62" s="22" t="inlineStr">
        <is>
          <t>W4-T05</t>
        </is>
      </c>
      <c r="D62" s="23" t="inlineStr">
        <is>
          <t>Backend / Liste</t>
        </is>
      </c>
      <c r="E62" s="23" t="inlineStr">
        <is>
          <t>Eksik Malzemeleri Tek Dokunuşla Alışveriş Listesine Ekleme</t>
        </is>
      </c>
      <c r="F62" s="23" t="inlineStr">
        <is>
          <t>Tarif detayındaki kırmızı (missing) malzemeler için 'Eksikleri Listeye Ekle' butonu; POST /shopping-list/bulk ile source='tarif' olarak toplu eklenir ve mevcut kayıtlarla birleştirilir.</t>
        </is>
      </c>
      <c r="G62" s="23" t="inlineStr">
        <is>
          <t>Butona basınca eksik malzemelerin tamamı listede, mükerrer kayıt oluşmuyor.</t>
        </is>
      </c>
      <c r="H62" s="22" t="n">
        <v>2</v>
      </c>
      <c r="I62" s="22" t="inlineStr">
        <is>
          <t>Kritik</t>
        </is>
      </c>
      <c r="J62" s="22" t="inlineStr">
        <is>
          <t>W4-T01</t>
        </is>
      </c>
      <c r="K62" s="22" t="inlineStr">
        <is>
          <t>Yapılacak</t>
        </is>
      </c>
    </row>
    <row r="63" ht="54.4" customHeight="1">
      <c r="A63" s="24" t="inlineStr">
        <is>
          <t>Hafta 4</t>
        </is>
      </c>
      <c r="B63" s="24" t="inlineStr">
        <is>
          <t>Gün 17-18</t>
        </is>
      </c>
      <c r="C63" s="24" t="inlineStr">
        <is>
          <t>W4-T06</t>
        </is>
      </c>
      <c r="D63" s="25" t="inlineStr">
        <is>
          <t>Mobil / Liste</t>
        </is>
      </c>
      <c r="E63" s="25" t="inlineStr">
        <is>
          <t>Alışveriş Listesi Ekranı</t>
        </is>
      </c>
      <c r="F63" s="25" t="inlineStr">
        <is>
          <t>Kategoriye göre gruplu liste, checkbox ile işaretleme, 'İşaretlenenleri Kilere Aktar' toplu aksiyonu (alışveriş dönüşü tek tuşla kiler güncellenir), kaynak rozeti (manuel/eşik/tarif) ve listeyi metin olarak paylaşma.</t>
        </is>
      </c>
      <c r="G63" s="25" t="inlineStr">
        <is>
          <t>İşaretlenen ürünler kilere aktarılınca listeden düşüyor ve kiler miktarları artıyor.</t>
        </is>
      </c>
      <c r="H63" s="24" t="n">
        <v>3</v>
      </c>
      <c r="I63" s="24" t="inlineStr">
        <is>
          <t>Kritik</t>
        </is>
      </c>
      <c r="J63" s="24" t="inlineStr">
        <is>
          <t>W4-T05</t>
        </is>
      </c>
      <c r="K63" s="24" t="inlineStr">
        <is>
          <t>Yapılacak</t>
        </is>
      </c>
    </row>
    <row r="64" ht="54.4" customHeight="1">
      <c r="A64" s="22" t="inlineStr">
        <is>
          <t>Hafta 4</t>
        </is>
      </c>
      <c r="B64" s="22" t="inlineStr">
        <is>
          <t>Gün 18</t>
        </is>
      </c>
      <c r="C64" s="22" t="inlineStr">
        <is>
          <t>W4-T07</t>
        </is>
      </c>
      <c r="D64" s="23" t="inlineStr">
        <is>
          <t>Bonus</t>
        </is>
      </c>
      <c r="E64" s="23" t="inlineStr">
        <is>
          <t>Son Kullanma Tarihi (SKT) Takibi ve Bildirim</t>
        </is>
      </c>
      <c r="F64" s="23" t="inlineStr">
        <is>
          <t>pantry_items.expiry_date üzerinden 3 gün kala uyarı üretilir. expo-notifications ile yerel bildirim planlanır ('Mercimeğin tarihi geçmek üzere, bugün onunla bir şey yapalım!'); ana ekrana 'Yakında bozulacaklar' bölümü eklenir.</t>
        </is>
      </c>
      <c r="G64" s="23" t="inlineStr">
        <is>
          <t>Yaklaşan SKT'li ürün için cihazda bildirim tetikleniyor.</t>
        </is>
      </c>
      <c r="H64" s="22" t="n">
        <v>2</v>
      </c>
      <c r="I64" s="22" t="inlineStr">
        <is>
          <t>Düşük</t>
        </is>
      </c>
      <c r="J64" s="22" t="inlineStr">
        <is>
          <t>W2-T07</t>
        </is>
      </c>
      <c r="K64" s="22" t="inlineStr">
        <is>
          <t>Yapılacak</t>
        </is>
      </c>
    </row>
    <row r="65" ht="41.8" customHeight="1">
      <c r="A65" s="24" t="inlineStr">
        <is>
          <t>Hafta 4</t>
        </is>
      </c>
      <c r="B65" s="24" t="inlineStr">
        <is>
          <t>Gün 18</t>
        </is>
      </c>
      <c r="C65" s="24" t="inlineStr">
        <is>
          <t>W4-T08</t>
        </is>
      </c>
      <c r="D65" s="25" t="inlineStr">
        <is>
          <t>Mobil / UX</t>
        </is>
      </c>
      <c r="E65" s="25" t="inlineStr">
        <is>
          <t>Boş Durum, Yükleniyor ve Hata Ekranlarının Tamamlanması</t>
        </is>
      </c>
      <c r="F65" s="25" t="inlineStr">
        <is>
          <t>Tüm listelerde skeleton loader, anlamlı boş durum görselleri ve 'yeniden dene' butonlu hata ekranları. Global toast/snackbar altyapısı ve ağ bağlantısı kontrolü eklenir.</t>
        </is>
      </c>
      <c r="G65" s="25" t="inlineStr">
        <is>
          <t>İnternet kapalıyken hiçbir ekran boş/beyaz kalmıyor, kullanıcı bilgilendiriliyor.</t>
        </is>
      </c>
      <c r="H65" s="24" t="n">
        <v>2</v>
      </c>
      <c r="I65" s="24" t="inlineStr">
        <is>
          <t>Orta</t>
        </is>
      </c>
      <c r="J65" s="24" t="inlineStr">
        <is>
          <t>W4-T06</t>
        </is>
      </c>
      <c r="K65" s="24" t="inlineStr">
        <is>
          <t>Yapılacak</t>
        </is>
      </c>
    </row>
    <row r="66" ht="54.4" customHeight="1">
      <c r="A66" s="22" t="inlineStr">
        <is>
          <t>Hafta 4</t>
        </is>
      </c>
      <c r="B66" s="22" t="inlineStr">
        <is>
          <t>Gün 18-19</t>
        </is>
      </c>
      <c r="C66" s="22" t="inlineStr">
        <is>
          <t>W4-T09</t>
        </is>
      </c>
      <c r="D66" s="23" t="inlineStr">
        <is>
          <t>Test</t>
        </is>
      </c>
      <c r="E66" s="23" t="inlineStr">
        <is>
          <t>Backend Birim Testleri (pytest)</t>
        </is>
      </c>
      <c r="F66" s="23" t="inlineStr">
        <is>
          <t>Kritik servisler test edilir: BMR/TDEE hesabı, birim dönüşümü, malzeme eşleştirme, eşik tetikleyici, stok düşümü, günlük kalori toplamı, skorlama. pytest fixtures + ayrı test veritabanı kullanılır; coverage raporu alınır.</t>
        </is>
      </c>
      <c r="G66" s="23" t="inlineStr">
        <is>
          <t>Kritik servislerde satır kapsamı %60 üzerinde; tüm testler yeşil.</t>
        </is>
      </c>
      <c r="H66" s="22" t="n">
        <v>3</v>
      </c>
      <c r="I66" s="22" t="inlineStr">
        <is>
          <t>Yüksek</t>
        </is>
      </c>
      <c r="J66" s="22" t="inlineStr">
        <is>
          <t>W4-T03</t>
        </is>
      </c>
      <c r="K66" s="22" t="inlineStr">
        <is>
          <t>Yapılacak</t>
        </is>
      </c>
    </row>
    <row r="67" ht="54.4" customHeight="1">
      <c r="A67" s="24" t="inlineStr">
        <is>
          <t>Hafta 4</t>
        </is>
      </c>
      <c r="B67" s="24" t="inlineStr">
        <is>
          <t>Gün 19</t>
        </is>
      </c>
      <c r="C67" s="24" t="inlineStr">
        <is>
          <t>W4-T10</t>
        </is>
      </c>
      <c r="D67" s="25" t="inlineStr">
        <is>
          <t>Performans</t>
        </is>
      </c>
      <c r="E67" s="25" t="inlineStr">
        <is>
          <t>API Performans Optimizasyonu ve İndeksleme</t>
        </is>
      </c>
      <c r="F67" s="25" t="inlineStr">
        <is>
          <t>Middleware ile istek süreleri loglanır, yavaş sorgular tespit edilir. SQLite index (user_id, canonical_name), MongoDB compound index (diet_tags + calories_per_serving). N+1 sorgular joinedload ile giderilir; response payload küçültülür.</t>
        </is>
      </c>
      <c r="G67" s="25" t="inlineStr">
        <is>
          <t>Ana listeleme endpoint'lerinde p95 yanıt süresi 500 ms altına indi.</t>
        </is>
      </c>
      <c r="H67" s="24" t="n">
        <v>2.5</v>
      </c>
      <c r="I67" s="24" t="inlineStr">
        <is>
          <t>Yüksek</t>
        </is>
      </c>
      <c r="J67" s="24" t="inlineStr">
        <is>
          <t>W4-T09</t>
        </is>
      </c>
      <c r="K67" s="24" t="inlineStr">
        <is>
          <t>Yapılacak</t>
        </is>
      </c>
    </row>
    <row r="68" ht="54.4" customHeight="1">
      <c r="A68" s="22" t="inlineStr">
        <is>
          <t>Hafta 4</t>
        </is>
      </c>
      <c r="B68" s="22" t="inlineStr">
        <is>
          <t>Gün 19</t>
        </is>
      </c>
      <c r="C68" s="22" t="inlineStr">
        <is>
          <t>W4-T11</t>
        </is>
      </c>
      <c r="D68" s="23" t="inlineStr">
        <is>
          <t>Test</t>
        </is>
      </c>
      <c r="E68" s="23" t="inlineStr">
        <is>
          <t>Uçtan Uca (E2E) Senaryo Testleri</t>
        </is>
      </c>
      <c r="F68" s="23" t="inlineStr">
        <is>
          <t>Üç ana senaryo gerçek cihazda baştan sona koşulur: (A) Barkodla ürün ekleme, (B) Chatbot'tan kişiselleştirilmiş tarif önerisi, (C) Tarif kartı malzeme durumu + eksiklerin listeye düşmesi. Ek olarak kayıt -&gt; onboarding -&gt; ilk öneri akışı test edilir.</t>
        </is>
      </c>
      <c r="G68" s="23" t="inlineStr">
        <is>
          <t>Üç senaryo da hatasız tamamlandı ve adımlar ekran kaydıyla belgelendi.</t>
        </is>
      </c>
      <c r="H68" s="22" t="n">
        <v>3</v>
      </c>
      <c r="I68" s="22" t="inlineStr">
        <is>
          <t>Kritik</t>
        </is>
      </c>
      <c r="J68" s="22" t="inlineStr">
        <is>
          <t>W4-T06</t>
        </is>
      </c>
      <c r="K68" s="22" t="inlineStr">
        <is>
          <t>Yapılacak</t>
        </is>
      </c>
    </row>
    <row r="69" ht="54.4" customHeight="1">
      <c r="A69" s="24" t="inlineStr">
        <is>
          <t>Hafta 4</t>
        </is>
      </c>
      <c r="B69" s="24" t="inlineStr">
        <is>
          <t>Gün 19</t>
        </is>
      </c>
      <c r="C69" s="24" t="inlineStr">
        <is>
          <t>W4-T12</t>
        </is>
      </c>
      <c r="D69" s="25" t="inlineStr">
        <is>
          <t>Kalite</t>
        </is>
      </c>
      <c r="E69" s="25" t="inlineStr">
        <is>
          <t>Hata Ayıklama ve Dayanıklılık İyileştirmeleri</t>
        </is>
      </c>
      <c r="F69" s="25" t="inlineStr">
        <is>
          <t>Tüm async çağrılarda try/catch, React Error Boundary, backend'de global exception handler ve kullanıcıya anlamlı hata mesajları. Promise bekleme sorunları (race condition) giderilir; bulunan hatalar önceliklendirilip kapatılır.</t>
        </is>
      </c>
      <c r="G69" s="25" t="inlineStr">
        <is>
          <t>Kritik/major seviyede açık hata kalmadı; uygulama hiçbir akışta çökmüyor.</t>
        </is>
      </c>
      <c r="H69" s="24" t="n">
        <v>2</v>
      </c>
      <c r="I69" s="24" t="inlineStr">
        <is>
          <t>Kritik</t>
        </is>
      </c>
      <c r="J69" s="24" t="inlineStr">
        <is>
          <t>W4-T11</t>
        </is>
      </c>
      <c r="K69" s="24" t="inlineStr">
        <is>
          <t>Yapılacak</t>
        </is>
      </c>
    </row>
    <row r="70" ht="54.4" customHeight="1">
      <c r="A70" s="22" t="inlineStr">
        <is>
          <t>Hafta 4</t>
        </is>
      </c>
      <c r="B70" s="22" t="inlineStr">
        <is>
          <t>Gün 20</t>
        </is>
      </c>
      <c r="C70" s="22" t="inlineStr">
        <is>
          <t>W4-T13</t>
        </is>
      </c>
      <c r="D70" s="23" t="inlineStr">
        <is>
          <t>Dokümantasyon</t>
        </is>
      </c>
      <c r="E70" s="23" t="inlineStr">
        <is>
          <t>Mimari ve Veri Akış Diyagramları (Mermaid.js)</t>
        </is>
      </c>
      <c r="F70" s="23" t="inlineStr">
        <is>
          <t>Mermaid.js ile üç diyagram: (1) sistem mimarisi (Mobil &lt;-&gt; FastAPI &lt;-&gt; SQLite/MongoDB &lt;-&gt; Open Food Facts/Groq), (2) Senaryo A/B/C veri akış şemaları, (3) ER diyagramı. Mermaid Live Editor'dan PNG/SVG export edilip /docs klasörüne ve README'ye eklenir.</t>
        </is>
      </c>
      <c r="G70" s="23" t="inlineStr">
        <is>
          <t>Üç diyagram da repoda ve sunumda kullanılabilir çözünürlükte.</t>
        </is>
      </c>
      <c r="H70" s="22" t="n">
        <v>2</v>
      </c>
      <c r="I70" s="22" t="inlineStr">
        <is>
          <t>Yüksek</t>
        </is>
      </c>
      <c r="J70" s="22" t="inlineStr">
        <is>
          <t>W4-T11</t>
        </is>
      </c>
      <c r="K70" s="22" t="inlineStr">
        <is>
          <t>Yapılacak</t>
        </is>
      </c>
    </row>
    <row r="71" ht="54.4" customHeight="1">
      <c r="A71" s="24" t="inlineStr">
        <is>
          <t>Hafta 4</t>
        </is>
      </c>
      <c r="B71" s="24" t="inlineStr">
        <is>
          <t>Gün 20</t>
        </is>
      </c>
      <c r="C71" s="24" t="inlineStr">
        <is>
          <t>W4-T14</t>
        </is>
      </c>
      <c r="D71" s="25" t="inlineStr">
        <is>
          <t>Dokümantasyon</t>
        </is>
      </c>
      <c r="E71" s="25" t="inlineStr">
        <is>
          <t>README ve API Dokümantasyonu</t>
        </is>
      </c>
      <c r="F71" s="25" t="inlineStr">
        <is>
          <t>README: proje tanıtımı, ekran görüntüleri, kurulum adımları (backend + mobil), .env örneği, teknoloji yığını, mimari diyagram, yol haritası (V2/V3). OpenAPI şeması JSON olarak export edilip /docs klasörüne konur.</t>
        </is>
      </c>
      <c r="G71" s="25" t="inlineStr">
        <is>
          <t>Projeyi hiç bilmeyen biri yalnızca README ile projeyi ayağa kaldırabiliyor.</t>
        </is>
      </c>
      <c r="H71" s="24" t="n">
        <v>2</v>
      </c>
      <c r="I71" s="24" t="inlineStr">
        <is>
          <t>Yüksek</t>
        </is>
      </c>
      <c r="J71" s="24" t="inlineStr">
        <is>
          <t>W4-T13</t>
        </is>
      </c>
      <c r="K71" s="24" t="inlineStr">
        <is>
          <t>Yapılacak</t>
        </is>
      </c>
    </row>
    <row r="72" ht="54.4" customHeight="1">
      <c r="A72" s="22" t="inlineStr">
        <is>
          <t>Hafta 4</t>
        </is>
      </c>
      <c r="B72" s="22" t="inlineStr">
        <is>
          <t>Gün 20</t>
        </is>
      </c>
      <c r="C72" s="22" t="inlineStr">
        <is>
          <t>W4-T15</t>
        </is>
      </c>
      <c r="D72" s="23" t="inlineStr">
        <is>
          <t>Dağıtım</t>
        </is>
      </c>
      <c r="E72" s="23" t="inlineStr">
        <is>
          <t>Sürüm Derlemesi (APK / IPA) ve Backend Yayını</t>
        </is>
      </c>
      <c r="F72" s="23" t="inlineStr">
        <is>
          <t>EAS Build ile imzalı Android .apk (mümkünse iOS .ipa) üretilir; uygulama ikonu, splash screen, sürüm adı/kodu ayarlanır. Backend ücretsiz bir servise (Render / Railway free tier) deploy edilir ve mobil uygulama gerçek sunucuya bağlanır.</t>
        </is>
      </c>
      <c r="G72" s="23" t="inlineStr">
        <is>
          <t>İmzalı .apk gerçek cihaza kurulup çalışıyor ve uzak backend'e bağlanıyor.</t>
        </is>
      </c>
      <c r="H72" s="22" t="n">
        <v>2.5</v>
      </c>
      <c r="I72" s="22" t="inlineStr">
        <is>
          <t>Yüksek</t>
        </is>
      </c>
      <c r="J72" s="22" t="inlineStr">
        <is>
          <t>W4-T12</t>
        </is>
      </c>
      <c r="K72" s="22" t="inlineStr">
        <is>
          <t>Yapılacak</t>
        </is>
      </c>
    </row>
    <row r="73" ht="41.8" customHeight="1">
      <c r="A73" s="24" t="inlineStr">
        <is>
          <t>Hafta 4</t>
        </is>
      </c>
      <c r="B73" s="24" t="inlineStr">
        <is>
          <t>Gün 20</t>
        </is>
      </c>
      <c r="C73" s="24" t="inlineStr">
        <is>
          <t>W4-T16</t>
        </is>
      </c>
      <c r="D73" s="25" t="inlineStr">
        <is>
          <t>Sunum</t>
        </is>
      </c>
      <c r="E73" s="25" t="inlineStr">
        <is>
          <t>Staj Sunumu, Demo Videosu ve Defter Teslimi</t>
        </is>
      </c>
      <c r="F73" s="25" t="inlineStr">
        <is>
          <t>5-7 dakikalık demo videosu (Senaryo A/B/C), 10-12 slaytlık sunum (problem, rakip analizi, mimari, teknoloji seçimleri, canlı demo, öğrenilenler, yol haritası) ve staj defterinin haftalık doldurulması.</t>
        </is>
      </c>
      <c r="G73" s="25" t="inlineStr">
        <is>
          <t>Sunum ve video teslim edildi; jüri sorularına hazır durumda.</t>
        </is>
      </c>
      <c r="H73" s="24" t="n">
        <v>3</v>
      </c>
      <c r="I73" s="24" t="inlineStr">
        <is>
          <t>Kritik</t>
        </is>
      </c>
      <c r="J73" s="24" t="inlineStr">
        <is>
          <t>W4-T15</t>
        </is>
      </c>
      <c r="K73" s="24" t="inlineStr">
        <is>
          <t>Yapılacak</t>
        </is>
      </c>
    </row>
    <row r="74" ht="41.8" customHeight="1">
      <c r="A74" s="22" t="inlineStr">
        <is>
          <t>Hafta 4</t>
        </is>
      </c>
      <c r="B74" s="22" t="inlineStr">
        <is>
          <t>Gün 20</t>
        </is>
      </c>
      <c r="C74" s="22" t="inlineStr">
        <is>
          <t>W4-T17</t>
        </is>
      </c>
      <c r="D74" s="23" t="inlineStr">
        <is>
          <t>Tampon</t>
        </is>
      </c>
      <c r="E74" s="23" t="inlineStr">
        <is>
          <t>Tampon Süre / Kritik Hata Payı</t>
        </is>
      </c>
      <c r="F74" s="23" t="inlineStr">
        <is>
          <t>Beklenmedik native build hataları, API kotası, cihaz uyumsuzluğu gibi riskler için ayrılan zaman payı. Kullanılmazsa V2 backlog'undan bir madde çekilir (örn. SKT bildirimi veya oyunlaştırma).</t>
        </is>
      </c>
      <c r="G74" s="23" t="inlineStr">
        <is>
          <t>Plan sapması yaşanmadan teslim tamamlandı.</t>
        </is>
      </c>
      <c r="H74" s="22" t="n">
        <v>2</v>
      </c>
      <c r="I74" s="22" t="inlineStr">
        <is>
          <t>Orta</t>
        </is>
      </c>
      <c r="J74" s="22" t="inlineStr">
        <is>
          <t>-</t>
        </is>
      </c>
      <c r="K74" s="22" t="inlineStr">
        <is>
          <t>Yapılacak</t>
        </is>
      </c>
    </row>
    <row r="75" ht="20" customHeight="1">
      <c r="A75" s="26" t="inlineStr">
        <is>
          <t>TOPLAM</t>
        </is>
      </c>
      <c r="B75" s="27" t="n"/>
      <c r="C75" s="27" t="n"/>
      <c r="D75" s="27" t="n"/>
      <c r="E75" s="27" t="n"/>
      <c r="F75" s="27" t="n"/>
      <c r="G75" s="27" t="n"/>
      <c r="H75" s="28">
        <f>SUM(H4:H74)</f>
        <v/>
      </c>
      <c r="I75" s="27" t="n"/>
      <c r="J75" s="27" t="n"/>
      <c r="K75" s="27" t="n"/>
    </row>
    <row r="77" ht="34" customHeight="1">
      <c r="A77" s="29" t="inlineStr">
        <is>
          <t>NOT: Sureler tek gelistirici icin, gunde ~8 saat mesai varsayimiyla tahmin edilmistir (20 is gunu x 8 saat = 160 saat kapasite). Toplam tahmin ~165 saat oldugundan W4-T17 tampon gorevi ve dusuk oncelikli W4-T07 esnetme payi olarak birakilmistir. Sadece K sutunundaki 'Durum' hucrelerini doldurun; ornek: K4 hucresini 'Tamamlandi' yapin, Ozet Dashboard otomatik guncellenir.</t>
        </is>
      </c>
    </row>
  </sheetData>
  <autoFilter ref="A3:K74"/>
  <mergeCells count="4">
    <mergeCell ref="A2:K2"/>
    <mergeCell ref="A77:K77"/>
    <mergeCell ref="A1:K1"/>
    <mergeCell ref="A75:G75"/>
  </mergeCells>
  <conditionalFormatting sqref="I4:I74">
    <cfRule type="cellIs" priority="1" operator="equal" dxfId="0">
      <formula>"Kritik"</formula>
    </cfRule>
    <cfRule type="cellIs" priority="2" operator="equal" dxfId="1">
      <formula>"Yüksek"</formula>
    </cfRule>
  </conditionalFormatting>
  <conditionalFormatting sqref="K4:K74">
    <cfRule type="cellIs" priority="3" operator="equal" dxfId="2">
      <formula>"Tamamlandı"</formula>
    </cfRule>
    <cfRule type="cellIs" priority="4" operator="equal" dxfId="3">
      <formula>"Bloke"</formula>
    </cfRule>
    <cfRule type="cellIs" priority="5" operator="equal" dxfId="4">
      <formula>"Devam Ediyor"</formula>
    </cfRule>
  </conditionalFormatting>
  <dataValidations count="1">
    <dataValidation sqref="K4:K74" showDropDown="0" showInputMessage="0" showErrorMessage="0" allowBlank="1" error="Lütfen listeden bir durum seçin." promptTitle="Durum" prompt="Yapılacak / Devam Ediyor / Tamamlandı / Bloke" type="list">
      <formula1>"Yapılacak,Devam Ediyor,Tamamlandı,Bloke"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H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32" customWidth="1" min="4" max="4"/>
    <col width="46" customWidth="1" min="5" max="5"/>
    <col width="58" customWidth="1" min="6" max="6"/>
    <col width="14" customWidth="1" min="7" max="7"/>
    <col width="26" customWidth="1" min="8" max="8"/>
  </cols>
  <sheetData>
    <row r="1" ht="30" customHeight="1">
      <c r="A1" s="1" t="inlineStr">
        <is>
          <t>KAPSAM DISI OZELLIKLER  |  V2 ve V3 YOL HARITASI</t>
        </is>
      </c>
    </row>
    <row r="2" ht="20" customHeight="1">
      <c r="A2" s="2" t="inlineStr">
        <is>
          <t>PDF'te 'MVP'den cikar' denilen ve staj sonrasi surumlere birakilan maddeler. Her biri neden ertelendigi ve nasil yapilacagi ile birlikte listelenmistir.</t>
        </is>
      </c>
    </row>
    <row r="3" ht="32" customHeight="1">
      <c r="A3" s="7" t="inlineStr">
        <is>
          <t>Sürüm</t>
        </is>
      </c>
      <c r="B3" s="7" t="inlineStr">
        <is>
          <t>Öncelik</t>
        </is>
      </c>
      <c r="C3" s="7" t="inlineStr">
        <is>
          <t>Modül</t>
        </is>
      </c>
      <c r="D3" s="7" t="inlineStr">
        <is>
          <t>Özellik</t>
        </is>
      </c>
      <c r="E3" s="7" t="inlineStr">
        <is>
          <t>Neden MVP'de Değil?</t>
        </is>
      </c>
      <c r="F3" s="7" t="inlineStr">
        <is>
          <t>Nasıl Yapılacak / Teknoloji</t>
        </is>
      </c>
      <c r="G3" s="7" t="inlineStr">
        <is>
          <t>Tahmini Süre</t>
        </is>
      </c>
      <c r="H3" s="7" t="inlineStr">
        <is>
          <t>Maliyet Etkisi</t>
        </is>
      </c>
    </row>
    <row r="4" ht="67" customHeight="1">
      <c r="A4" s="22" t="inlineStr">
        <is>
          <t>V3</t>
        </is>
      </c>
      <c r="B4" s="22" t="inlineStr">
        <is>
          <t>Yüksek</t>
        </is>
      </c>
      <c r="C4" s="23" t="inlineStr">
        <is>
          <t>OCR / NLP</t>
        </is>
      </c>
      <c r="D4" s="23" t="inlineStr">
        <is>
          <t>Fişten Ürün Okuma ve Otomatik Kiler Kaydı</t>
        </is>
      </c>
      <c r="E4" s="23" t="inlineStr">
        <is>
          <t>PDF'te net şekilde belirtildiği gibi bu iş sadece kodlama değil, veri temizleme + NLP sürecidir; tek başına 20 günlük stajın en az 10 gününü yutar. Yarım kalmış OCR, çalışan bir MVP'den daha kötü bir sunum çıktısıdır.</t>
        </is>
      </c>
      <c r="F4" s="23" t="inlineStr">
        <is>
          <t>Google ML Kit Text Recognition (cihazda, ücretsiz) veya Tesseract ile fiş fotoğrafı metne çevrilir. Ardından satır bazlı RegEx + küçük bir LLM ile ürün adı / gramaj / fiyat ayrıştırılır ('MGRS KRMZ MRCMK %8' -&gt; Kırmızı Mercimek 1 kg). Sonuç kullanıcı onayına sunulup kilere yazılır.</t>
        </is>
      </c>
      <c r="G4" s="22" t="inlineStr">
        <is>
          <t>3-4 hafta</t>
        </is>
      </c>
      <c r="H4" s="23" t="inlineStr">
        <is>
          <t>Cihaz üstü: 0 $ | Google Vision: ~1.5 $ / 1000 istek</t>
        </is>
      </c>
    </row>
    <row r="5" ht="54.4" customHeight="1">
      <c r="A5" s="24" t="inlineStr">
        <is>
          <t>V3</t>
        </is>
      </c>
      <c r="B5" s="24" t="inlineStr">
        <is>
          <t>Yüksek</t>
        </is>
      </c>
      <c r="C5" s="25" t="inlineStr">
        <is>
          <t>OCR / Veri</t>
        </is>
      </c>
      <c r="D5" s="25" t="inlineStr">
        <is>
          <t>Türk Market Kısaltma Sözlüğü ve Doğrulama Ekranı</t>
        </is>
      </c>
      <c r="E5" s="25" t="inlineStr">
        <is>
          <t>OCR doğruluğu sözlük olmadan %50'nin altında kalır; sözlük ancak gerçek fiş verisi toplandıktan sonra anlamlı olur.</t>
        </is>
      </c>
      <c r="F5" s="25" t="inlineStr">
        <is>
          <t>Migros, A101, BİM, ŞOK, CarrefourSA fişlerinden 500+ satır toplanır; kısaltma -&gt; canonical ürün eşleme tablosu oluşturulur. Kullanıcıya 'düzelt ve onayla' ekranı gösterilerek her düzeltme sözlüğe geri beslenir (insan destekli öğrenme).</t>
        </is>
      </c>
      <c r="G5" s="24" t="inlineStr">
        <is>
          <t>1-2 hafta</t>
        </is>
      </c>
      <c r="H5" s="25" t="inlineStr">
        <is>
          <t>0 $ (manuel veri toplama)</t>
        </is>
      </c>
    </row>
    <row r="6" ht="54.4" customHeight="1">
      <c r="A6" s="22" t="inlineStr">
        <is>
          <t>V3</t>
        </is>
      </c>
      <c r="B6" s="22" t="inlineStr">
        <is>
          <t>Düşük</t>
        </is>
      </c>
      <c r="C6" s="23" t="inlineStr">
        <is>
          <t>Görüntü İşleme</t>
        </is>
      </c>
      <c r="D6" s="23" t="inlineStr">
        <is>
          <t>Kameradan Görsel Obje Tanıma (barkodsuz ürün)</t>
        </is>
      </c>
      <c r="E6" s="23" t="inlineStr">
        <is>
          <t>PDF'te açıkça 'çıkar' denilen madde: barkodsuz bir domatesi tanıyıp gramajını tahmin etmek teknik olarak çok zordur ve kullanıcıyı yanıltır.</t>
        </is>
      </c>
      <c r="F6" s="23" t="inlineStr">
        <is>
          <t>YOLOv8 / EfficientNet ile özel model eğitimi; veri toplama + etiketleme (Roboflow), bulutta GPU eğitimi, ardından TensorFlow Lite / Core ML'e dönüştürüp cihaz üzerinde çalıştırma.</t>
        </is>
      </c>
      <c r="G6" s="22" t="inlineStr">
        <is>
          <t>4-8 hafta</t>
        </is>
      </c>
      <c r="H6" s="23" t="inlineStr">
        <is>
          <t>GPU eğitimi: 100-500 $ (tek seferlik)</t>
        </is>
      </c>
    </row>
    <row r="7" ht="54.4" customHeight="1">
      <c r="A7" s="24" t="inlineStr">
        <is>
          <t>V2</t>
        </is>
      </c>
      <c r="B7" s="24" t="inlineStr">
        <is>
          <t>Yüksek</t>
        </is>
      </c>
      <c r="C7" s="25" t="inlineStr">
        <is>
          <t>Oyunlaştırma</t>
        </is>
      </c>
      <c r="D7" s="25" t="inlineStr">
        <is>
          <t>Tasarruf Rozetleri ve İsraf Önleme Skoru</t>
        </is>
      </c>
      <c r="E7" s="25" t="inlineStr">
        <is>
          <t>MVP'nin çekirdek değerini etkilemez; önce kiler + öneri döngüsünün tuttuğu doğrulanmalı.</t>
        </is>
      </c>
      <c r="F7" s="25" t="inlineStr">
        <is>
          <t>Kullanılan malzeme / israf edilen malzeme oranından haftalık skor. 'Bu hafta 500 TL tasarruf ettin, 1.2 kg gıda israfını önledin' kartı, rozet sistemi ve paylaşılabilir haftalık özet.</t>
        </is>
      </c>
      <c r="G7" s="24" t="inlineStr">
        <is>
          <t>1 hafta</t>
        </is>
      </c>
      <c r="H7" s="25" t="inlineStr">
        <is>
          <t>0 $</t>
        </is>
      </c>
    </row>
    <row r="8" ht="41.8" customHeight="1">
      <c r="A8" s="22" t="inlineStr">
        <is>
          <t>V2</t>
        </is>
      </c>
      <c r="B8" s="22" t="inlineStr">
        <is>
          <t>Yüksek</t>
        </is>
      </c>
      <c r="C8" s="23" t="inlineStr">
        <is>
          <t>Kiler</t>
        </is>
      </c>
      <c r="D8" s="23" t="inlineStr">
        <is>
          <t>Gelişmiş SKT Takibi ve Haftalık İsraf Raporu</t>
        </is>
      </c>
      <c r="E8" s="23" t="inlineStr">
        <is>
          <t>Temel SKT bildirimi MVP'de bonus görev olarak var; raporlama ve akıllı öneri katmanı sonraya bırakıldı.</t>
        </is>
      </c>
      <c r="F8" s="23" t="inlineStr">
        <is>
          <t>SKT'si yaklaşan ürünleri önceliklendiren özel bir öneri sorgusu ('bunları bugün kullan'), haftalık israf raporu ve push bildirim zamanlaması.</t>
        </is>
      </c>
      <c r="G8" s="22" t="inlineStr">
        <is>
          <t>1 hafta</t>
        </is>
      </c>
      <c r="H8" s="23" t="inlineStr">
        <is>
          <t>0 $ (Expo Push ücretsiz)</t>
        </is>
      </c>
    </row>
    <row r="9" ht="54.4" customHeight="1">
      <c r="A9" s="24" t="inlineStr">
        <is>
          <t>V2</t>
        </is>
      </c>
      <c r="B9" s="24" t="inlineStr">
        <is>
          <t>Orta</t>
        </is>
      </c>
      <c r="C9" s="25" t="inlineStr">
        <is>
          <t>AI</t>
        </is>
      </c>
      <c r="D9" s="25" t="inlineStr">
        <is>
          <t>Semantik Arama (Embedding / Vektör Veritabanı)</t>
        </is>
      </c>
      <c r="E9" s="25" t="inlineStr">
        <is>
          <t>MVP'de kural tabanlı filtreleme + rapidfuzz yeterli doğruluğu veriyor; vektör altyapısı erken karmaşıklık yaratır.</t>
        </is>
      </c>
      <c r="F9" s="25" t="inlineStr">
        <is>
          <t>Tarif ve malzeme metinleri embedding'e çevrilir (sentence-transformers, cihazda veya sunucuda), Chroma / pgvector'da saklanır. 'Anneannemin yaptığı gibi bir şey' türü bulanık sorgular desteklenir.</t>
        </is>
      </c>
      <c r="G9" s="24" t="inlineStr">
        <is>
          <t>1-2 hafta</t>
        </is>
      </c>
      <c r="H9" s="25" t="inlineStr">
        <is>
          <t>Açık kaynak model: 0 $</t>
        </is>
      </c>
    </row>
    <row r="10" ht="41.8" customHeight="1">
      <c r="A10" s="22" t="inlineStr">
        <is>
          <t>V2</t>
        </is>
      </c>
      <c r="B10" s="22" t="inlineStr">
        <is>
          <t>Orta</t>
        </is>
      </c>
      <c r="C10" s="23" t="inlineStr">
        <is>
          <t>Kalori</t>
        </is>
      </c>
      <c r="D10" s="23" t="inlineStr">
        <is>
          <t>Su Takibi + Egzersiz / Adım Entegrasyonu</t>
        </is>
      </c>
      <c r="E10" s="23" t="inlineStr">
        <is>
          <t>Kalori dengesinin ikinci yarısı; MVP'de alım tarafına odaklanıldı.</t>
        </is>
      </c>
      <c r="F10" s="23" t="inlineStr">
        <is>
          <t>Apple HealthKit ve Google Fit / Health Connect entegrasyonu ile adım ve yakılan kalori okunur, günlük hedefe eklenir. Su takibi basit bir sayaç bileşeniyle çözülür.</t>
        </is>
      </c>
      <c r="G10" s="22" t="inlineStr">
        <is>
          <t>1 hafta</t>
        </is>
      </c>
      <c r="H10" s="23" t="inlineStr">
        <is>
          <t>0 $</t>
        </is>
      </c>
    </row>
    <row r="11" ht="41.8" customHeight="1">
      <c r="A11" s="24" t="inlineStr">
        <is>
          <t>V2</t>
        </is>
      </c>
      <c r="B11" s="24" t="inlineStr">
        <is>
          <t>Yüksek</t>
        </is>
      </c>
      <c r="C11" s="25" t="inlineStr">
        <is>
          <t>Altyapı</t>
        </is>
      </c>
      <c r="D11" s="25" t="inlineStr">
        <is>
          <t>Çevrimdışı (Offline-First) Mod ve Senkronizasyon</t>
        </is>
      </c>
      <c r="E11" s="25" t="inlineStr">
        <is>
          <t>MVP'de internet varsayımıyla ilerlemek geliştirme hızını iki katına çıkarır.</t>
        </is>
      </c>
      <c r="F11" s="25" t="inlineStr">
        <is>
          <t>Cihazda WatermelonDB / SQLite yerel kopya, değişikliklerin kuyruğa alınması ve bağlantı gelince çakışma çözümlemeli (last-write-wins + versiyon) senkronizasyon.</t>
        </is>
      </c>
      <c r="G11" s="24" t="inlineStr">
        <is>
          <t>2 hafta</t>
        </is>
      </c>
      <c r="H11" s="25" t="inlineStr">
        <is>
          <t>0 $</t>
        </is>
      </c>
    </row>
    <row r="12" ht="54.4" customHeight="1">
      <c r="A12" s="22" t="inlineStr">
        <is>
          <t>V2</t>
        </is>
      </c>
      <c r="B12" s="22" t="inlineStr">
        <is>
          <t>Orta</t>
        </is>
      </c>
      <c r="C12" s="23" t="inlineStr">
        <is>
          <t>AI</t>
        </is>
      </c>
      <c r="D12" s="23" t="inlineStr">
        <is>
          <t>Haftalık Otomatik Yemek Planı (Meal Plan)</t>
        </is>
      </c>
      <c r="E12" s="23" t="inlineStr">
        <is>
          <t>Öneri motorunun tekil tarif seviyesinde doğrulanması önce gelir.</t>
        </is>
      </c>
      <c r="F12" s="23" t="inlineStr">
        <is>
          <t>Kalori hedefi, kiler ve tercihler baz alınarak 7 günlük menü üretilir; eksik malzemeler tek seferde alışveriş listesine dökülür. Kısıt tabanlı optimizasyon veya LLM planlayıcı ile çözülür.</t>
        </is>
      </c>
      <c r="G12" s="22" t="inlineStr">
        <is>
          <t>1-2 hafta</t>
        </is>
      </c>
      <c r="H12" s="23" t="inlineStr">
        <is>
          <t>LLM: ~1-3 $ / ay (önbellekli)</t>
        </is>
      </c>
    </row>
    <row r="13" ht="41.8" customHeight="1">
      <c r="A13" s="24" t="inlineStr">
        <is>
          <t>V2</t>
        </is>
      </c>
      <c r="B13" s="24" t="inlineStr">
        <is>
          <t>Orta</t>
        </is>
      </c>
      <c r="C13" s="25" t="inlineStr">
        <is>
          <t>Ticari</t>
        </is>
      </c>
      <c r="D13" s="25" t="inlineStr">
        <is>
          <t>Market Fiyat Takibi ve Alışveriş Maliyeti Karşılaştırma</t>
        </is>
      </c>
      <c r="E13" s="25" t="inlineStr">
        <is>
          <t>Fiyat verisi sürekli güncellik ister; MVP kapsamında sürdürülemez.</t>
        </is>
      </c>
      <c r="F13" s="25" t="inlineStr">
        <is>
          <t>Açık fiyat API'leri veya kullanıcı katkısıyla fiyat toplanır; alışveriş listesinin tahmini maliyeti ve market karşılaştırması gösterilir.</t>
        </is>
      </c>
      <c r="G13" s="24" t="inlineStr">
        <is>
          <t>2-3 hafta</t>
        </is>
      </c>
      <c r="H13" s="25" t="inlineStr">
        <is>
          <t>Değişken</t>
        </is>
      </c>
    </row>
    <row r="14" ht="41.8" customHeight="1">
      <c r="A14" s="22" t="inlineStr">
        <is>
          <t>V2</t>
        </is>
      </c>
      <c r="B14" s="22" t="inlineStr">
        <is>
          <t>Orta</t>
        </is>
      </c>
      <c r="C14" s="23" t="inlineStr">
        <is>
          <t>Platform</t>
        </is>
      </c>
      <c r="D14" s="23" t="inlineStr">
        <is>
          <t>App Store ve Play Store Yayın Süreci</t>
        </is>
      </c>
      <c r="E14" s="23" t="inlineStr">
        <is>
          <t>Staj teslimi için .apk yeterli; mağaza inceleme süreci staj takvimine sığmaz ve Apple reddi zaman kaybettirir.</t>
        </is>
      </c>
      <c r="F14" s="23" t="inlineStr">
        <is>
          <t>Geliştirici hesapları, gizlilik politikası (KVKK/GDPR), veri güvenliği formu, ekran görüntüleri, ASO metinleri, TestFlight / iç test kanalı ve inceleme süreci yönetimi.</t>
        </is>
      </c>
      <c r="G14" s="22" t="inlineStr">
        <is>
          <t>1-2 hafta</t>
        </is>
      </c>
      <c r="H14" s="23" t="inlineStr">
        <is>
          <t>Apple 99 $/yıl + Google 25 $ tek seferlik</t>
        </is>
      </c>
    </row>
    <row r="15" ht="41.8" customHeight="1">
      <c r="A15" s="24" t="inlineStr">
        <is>
          <t>V3</t>
        </is>
      </c>
      <c r="B15" s="24" t="inlineStr">
        <is>
          <t>Düşük</t>
        </is>
      </c>
      <c r="C15" s="25" t="inlineStr">
        <is>
          <t>Sosyal</t>
        </is>
      </c>
      <c r="D15" s="25" t="inlineStr">
        <is>
          <t>Uygulama İçi Tarif Paylaşımı / Sosyal Ağ</t>
        </is>
      </c>
      <c r="E15" s="25" t="inlineStr">
        <is>
          <t>PDF'te 'çıkar' denilen madde: ilk etapta gereksiz veri yükü ve moderasyon maliyeti yaratır.</t>
        </is>
      </c>
      <c r="F15" s="25" t="inlineStr">
        <is>
          <t>Kullanıcı tarifleri, beğeni/yorum, moderasyon kuyruğu, spam ve telif kontrolü. Ancak belirli bir aktif kullanıcı kütlesinden sonra anlamlıdır.</t>
        </is>
      </c>
      <c r="G15" s="24" t="inlineStr">
        <is>
          <t>3-4 hafta</t>
        </is>
      </c>
      <c r="H15" s="25" t="inlineStr">
        <is>
          <t>Depolama + moderasyon maliyeti</t>
        </is>
      </c>
    </row>
  </sheetData>
  <autoFilter ref="A3:H15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46" customWidth="1" min="4" max="4"/>
    <col width="16" customWidth="1" min="5" max="5"/>
    <col width="16" customWidth="1" min="6" max="6"/>
    <col width="18" customWidth="1" min="7" max="7"/>
  </cols>
  <sheetData>
    <row r="1" ht="30" customHeight="1">
      <c r="A1" s="1" t="inlineStr">
        <is>
          <t>MALIYET ANALIZI VE TASARRUF STRATEJILERI</t>
        </is>
      </c>
    </row>
    <row r="2" ht="20" customHeight="1">
      <c r="A2" s="2" t="inlineStr">
        <is>
          <t>Iki senaryo karsilastirilir: (1) hazir bulut servisleriyle optimize EDILMEMIS kurulum, (2) acik kaynak + ucretsiz katman ile OPTIMIZE kurulum. Yillik tasarruf sutunu formulle hesaplanir.</t>
        </is>
      </c>
    </row>
    <row r="3" ht="32" customHeight="1">
      <c r="A3" s="7" t="inlineStr">
        <is>
          <t>Maliyet Kalemi</t>
        </is>
      </c>
      <c r="B3" s="7" t="inlineStr">
        <is>
          <t>Açıklama</t>
        </is>
      </c>
      <c r="C3" s="7" t="inlineStr">
        <is>
          <t>Optimize Edilmemiş Aylık ($)</t>
        </is>
      </c>
      <c r="D3" s="7" t="inlineStr">
        <is>
          <t>Ucuza Çözüm / Alternatif</t>
        </is>
      </c>
      <c r="E3" s="7" t="inlineStr">
        <is>
          <t>Optimize Aylık ($)</t>
        </is>
      </c>
      <c r="F3" s="7" t="inlineStr">
        <is>
          <t>Yıllık Tasarruf ($)</t>
        </is>
      </c>
      <c r="G3" s="7" t="inlineStr">
        <is>
          <t>Staj MVP'sinde Gerekli mi?</t>
        </is>
      </c>
    </row>
    <row r="4" ht="41.8" customHeight="1">
      <c r="A4" s="23" t="inlineStr">
        <is>
          <t>Sunucu / Backend Barındırma</t>
        </is>
      </c>
      <c r="B4" s="23" t="inlineStr">
        <is>
          <t>FastAPI uygulamasının çalıştığı VPS veya PaaS</t>
        </is>
      </c>
      <c r="C4" s="30" t="n">
        <v>12</v>
      </c>
      <c r="D4" s="23" t="inlineStr">
        <is>
          <t>Render / Railway / Fly.io ücretsiz katmanı; ya da tamamen Supabase (BaaS) ile sunucusuz ilerleme</t>
        </is>
      </c>
      <c r="E4" s="30" t="n">
        <v>0</v>
      </c>
      <c r="F4" s="30">
        <f>(C4-E4)*12</f>
        <v/>
      </c>
      <c r="G4" s="22" t="inlineStr">
        <is>
          <t>Evet</t>
        </is>
      </c>
    </row>
    <row r="5" ht="29.2" customHeight="1">
      <c r="A5" s="25" t="inlineStr">
        <is>
          <t>Yönetilen Veritabanı</t>
        </is>
      </c>
      <c r="B5" s="25" t="inlineStr">
        <is>
          <t>PostgreSQL / MongoDB barındırma</t>
        </is>
      </c>
      <c r="C5" s="31" t="n">
        <v>15</v>
      </c>
      <c r="D5" s="25" t="inlineStr">
        <is>
          <t>MongoDB Atlas M0 (ücretsiz, 512 MB) + SQLite dosya veritabanı</t>
        </is>
      </c>
      <c r="E5" s="31" t="n">
        <v>0</v>
      </c>
      <c r="F5" s="31">
        <f>(C5-E5)*12</f>
        <v/>
      </c>
      <c r="G5" s="24" t="inlineStr">
        <is>
          <t>Evet</t>
        </is>
      </c>
    </row>
    <row r="6" ht="29.2" customHeight="1">
      <c r="A6" s="23" t="inlineStr">
        <is>
          <t>LLM / Chatbot API</t>
        </is>
      </c>
      <c r="B6" s="23" t="inlineStr">
        <is>
          <t>Sohbet asistanının token maliyeti (GPT-4o-mini ile aylık 20-50 $)</t>
        </is>
      </c>
      <c r="C6" s="30" t="n">
        <v>35</v>
      </c>
      <c r="D6" s="23" t="inlineStr">
        <is>
          <t>Groq üzerinden LLaMA 3 (çok düşük maliyet) + yanıt önbelleği + kullanıcı başına günlük limit</t>
        </is>
      </c>
      <c r="E6" s="30" t="n">
        <v>2</v>
      </c>
      <c r="F6" s="30">
        <f>(C6-E6)*12</f>
        <v/>
      </c>
      <c r="G6" s="22" t="inlineStr">
        <is>
          <t>Evet</t>
        </is>
      </c>
    </row>
    <row r="7" ht="29.2" customHeight="1">
      <c r="A7" s="25" t="inlineStr">
        <is>
          <t>Barkod Tanıma</t>
        </is>
      </c>
      <c r="B7" s="25" t="inlineStr">
        <is>
          <t>Bulut görüntü işleme servisi ile barkod çözümleme</t>
        </is>
      </c>
      <c r="C7" s="31" t="n">
        <v>10</v>
      </c>
      <c r="D7" s="25" t="inlineStr">
        <is>
          <t>Google ML Kit ile cihaz üzerinde (on-device) okuma - tamamen ücretsiz ve offline</t>
        </is>
      </c>
      <c r="E7" s="31" t="n">
        <v>0</v>
      </c>
      <c r="F7" s="31">
        <f>(C7-E7)*12</f>
        <v/>
      </c>
      <c r="G7" s="24" t="inlineStr">
        <is>
          <t>Evet</t>
        </is>
      </c>
    </row>
    <row r="8" ht="29.2" customHeight="1">
      <c r="A8" s="23" t="inlineStr">
        <is>
          <t>Gıda / Barkod Veritabanı</t>
        </is>
      </c>
      <c r="B8" s="23" t="inlineStr">
        <is>
          <t>FatSecret veya Nutritionix ücretli plan</t>
        </is>
      </c>
      <c r="C8" s="30" t="n">
        <v>20</v>
      </c>
      <c r="D8" s="23" t="inlineStr">
        <is>
          <t>Open Food Facts açık veritabanı (ücretsiz, ODbL lisansı) + kullanıcı katkılı ürün havuzu</t>
        </is>
      </c>
      <c r="E8" s="30" t="n">
        <v>0</v>
      </c>
      <c r="F8" s="30">
        <f>(C8-E8)*12</f>
        <v/>
      </c>
      <c r="G8" s="22" t="inlineStr">
        <is>
          <t>Evet</t>
        </is>
      </c>
    </row>
    <row r="9" ht="29.2" customHeight="1">
      <c r="A9" s="25" t="inlineStr">
        <is>
          <t>Fiş Okuma (OCR)</t>
        </is>
      </c>
      <c r="B9" s="25" t="inlineStr">
        <is>
          <t>Google Cloud Vision / AWS Textract (1000 istek ~1.5 $)</t>
        </is>
      </c>
      <c r="C9" s="31" t="n">
        <v>15</v>
      </c>
      <c r="D9" s="25" t="inlineStr">
        <is>
          <t>Cihaz üstü ML Kit Text Recognition veya Tesseract OCR (ücretsiz)</t>
        </is>
      </c>
      <c r="E9" s="31" t="n">
        <v>0</v>
      </c>
      <c r="F9" s="31">
        <f>(C9-E9)*12</f>
        <v/>
      </c>
      <c r="G9" s="24" t="inlineStr">
        <is>
          <t>Hayır (V3)</t>
        </is>
      </c>
    </row>
    <row r="10" ht="29.2" customHeight="1">
      <c r="A10" s="23" t="inlineStr">
        <is>
          <t>Görsel Depolama / CDN</t>
        </is>
      </c>
      <c r="B10" s="23" t="inlineStr">
        <is>
          <t>Tarif ve ürün görsellerinin barındırılması</t>
        </is>
      </c>
      <c r="C10" s="30" t="n">
        <v>5</v>
      </c>
      <c r="D10" s="23" t="inlineStr">
        <is>
          <t>Cloudinary ücretsiz katmanı veya Unsplash/Pexels doğrudan bağlantısı</t>
        </is>
      </c>
      <c r="E10" s="30" t="n">
        <v>0</v>
      </c>
      <c r="F10" s="30">
        <f>(C10-E10)*12</f>
        <v/>
      </c>
      <c r="G10" s="22" t="inlineStr">
        <is>
          <t>Evet</t>
        </is>
      </c>
    </row>
    <row r="11" ht="16.6" customHeight="1">
      <c r="A11" s="25" t="inlineStr">
        <is>
          <t>Push Bildirim</t>
        </is>
      </c>
      <c r="B11" s="25" t="inlineStr">
        <is>
          <t>Bildirim altyapısı</t>
        </is>
      </c>
      <c r="C11" s="31" t="n">
        <v>5</v>
      </c>
      <c r="D11" s="25" t="inlineStr">
        <is>
          <t>Expo Push Notifications (ücretsiz)</t>
        </is>
      </c>
      <c r="E11" s="31" t="n">
        <v>0</v>
      </c>
      <c r="F11" s="31">
        <f>(C11-E11)*12</f>
        <v/>
      </c>
      <c r="G11" s="24" t="inlineStr">
        <is>
          <t>Kısmen</t>
        </is>
      </c>
    </row>
    <row r="12" ht="16.6" customHeight="1">
      <c r="A12" s="23" t="inlineStr">
        <is>
          <t>Hata İzleme / Log</t>
        </is>
      </c>
      <c r="B12" s="23" t="inlineStr">
        <is>
          <t>Sentry veya benzeri APM aracı</t>
        </is>
      </c>
      <c r="C12" s="30" t="n">
        <v>26</v>
      </c>
      <c r="D12" s="23" t="inlineStr">
        <is>
          <t>Sentry ücretsiz katmanı (5k olay/ay)</t>
        </is>
      </c>
      <c r="E12" s="30" t="n">
        <v>0</v>
      </c>
      <c r="F12" s="30">
        <f>(C12-E12)*12</f>
        <v/>
      </c>
      <c r="G12" s="22" t="inlineStr">
        <is>
          <t>Kısmen</t>
        </is>
      </c>
    </row>
    <row r="13" ht="16.6" customHeight="1">
      <c r="A13" s="25" t="inlineStr">
        <is>
          <t>Alan Adı + SSL</t>
        </is>
      </c>
      <c r="B13" s="25" t="inlineStr">
        <is>
          <t>Backend için alan adı ve sertifika</t>
        </is>
      </c>
      <c r="C13" s="31" t="n">
        <v>1.5</v>
      </c>
      <c r="D13" s="25" t="inlineStr">
        <is>
          <t>Cloudflare ücretsiz SSL + ucuz .com alan adı</t>
        </is>
      </c>
      <c r="E13" s="31" t="n">
        <v>1.5</v>
      </c>
      <c r="F13" s="31">
        <f>(C13-E13)*12</f>
        <v/>
      </c>
      <c r="G13" s="24" t="inlineStr">
        <is>
          <t>Hayır</t>
        </is>
      </c>
    </row>
    <row r="14" ht="29.2" customHeight="1">
      <c r="A14" s="23" t="inlineStr">
        <is>
          <t>Apple Developer Hesabı</t>
        </is>
      </c>
      <c r="B14" s="23" t="inlineStr">
        <is>
          <t>App Store yayını için zorunlu (99 $/yıl)</t>
        </is>
      </c>
      <c r="C14" s="30" t="n">
        <v>8.25</v>
      </c>
      <c r="D14" s="23" t="inlineStr">
        <is>
          <t>Zorunlu - indirim yok; yayına kadar ertelenebilir</t>
        </is>
      </c>
      <c r="E14" s="30" t="n">
        <v>8.25</v>
      </c>
      <c r="F14" s="30">
        <f>(C14-E14)*12</f>
        <v/>
      </c>
      <c r="G14" s="22" t="inlineStr">
        <is>
          <t>Hayır (V2)</t>
        </is>
      </c>
    </row>
    <row r="15" ht="29.2" customHeight="1">
      <c r="A15" s="25" t="inlineStr">
        <is>
          <t>Google Play Hesabı</t>
        </is>
      </c>
      <c r="B15" s="25" t="inlineStr">
        <is>
          <t>Tek seferlik 25 $ (ilk yıla yayıldı)</t>
        </is>
      </c>
      <c r="C15" s="31" t="n">
        <v>2.08</v>
      </c>
      <c r="D15" s="25" t="inlineStr">
        <is>
          <t>Zorunlu - tek seferlik; yayına kadar ertelenebilir</t>
        </is>
      </c>
      <c r="E15" s="31" t="n">
        <v>2.08</v>
      </c>
      <c r="F15" s="31">
        <f>(C15-E15)*12</f>
        <v/>
      </c>
      <c r="G15" s="24" t="inlineStr">
        <is>
          <t>Hayır (V2)</t>
        </is>
      </c>
    </row>
    <row r="16" ht="22" customHeight="1">
      <c r="A16" s="16" t="inlineStr">
        <is>
          <t>TOPLAM</t>
        </is>
      </c>
      <c r="B16" s="16" t="inlineStr">
        <is>
          <t>Aylık toplam / yıllık toplam tasarruf</t>
        </is>
      </c>
      <c r="C16" s="32">
        <f>SUM(C4:C15)</f>
        <v/>
      </c>
      <c r="D16" s="16" t="inlineStr">
        <is>
          <t>Optimize kurulumda aylık gider neredeyse sıfırlanır</t>
        </is>
      </c>
      <c r="E16" s="32">
        <f>SUM(E4:E15)</f>
        <v/>
      </c>
      <c r="F16" s="32">
        <f>SUM(F4:F15)</f>
        <v/>
      </c>
      <c r="G16" s="13" t="inlineStr"/>
    </row>
    <row r="18">
      <c r="A18" s="3" t="inlineStr">
        <is>
          <t>STAJ (MVP) SENARYOSU OZETI</t>
        </is>
      </c>
    </row>
    <row r="19" ht="18" customHeight="1">
      <c r="A19" s="33" t="inlineStr">
        <is>
          <t>Staj süresince zorunlu aylık gider ($)</t>
        </is>
      </c>
      <c r="B19" s="34">
        <f>SUMIF(G4:G15,"Evet",E4:E15)</f>
        <v/>
      </c>
      <c r="C19" s="35" t="inlineStr">
        <is>
          <t>Sadece MVP'de gerekli kalemlerin optimize maliyeti - ücretsiz katmanlarla neredeyse sıfır</t>
        </is>
      </c>
      <c r="D19" s="6" t="n"/>
      <c r="E19" s="6" t="n"/>
      <c r="F19" s="6" t="n"/>
      <c r="G19" s="6" t="n"/>
    </row>
    <row r="20" ht="18" customHeight="1">
      <c r="A20" s="33" t="inlineStr">
        <is>
          <t>Aynı kalemlerin optimize edilmemiş hali ($)</t>
        </is>
      </c>
      <c r="B20" s="34">
        <f>SUMIF(G4:G15,"Evet",C4:C15)</f>
        <v/>
      </c>
      <c r="C20" s="35" t="inlineStr">
        <is>
          <t>Hazır bulut servisleriyle gidilseydi ödenecek aylık tutar</t>
        </is>
      </c>
      <c r="D20" s="6" t="n"/>
      <c r="E20" s="6" t="n"/>
      <c r="F20" s="6" t="n"/>
      <c r="G20" s="6" t="n"/>
    </row>
    <row r="21" ht="18" customHeight="1">
      <c r="A21" s="33" t="inlineStr">
        <is>
          <t>Aylık tasarruf ($)</t>
        </is>
      </c>
      <c r="B21" s="34">
        <f>B20-B19</f>
        <v/>
      </c>
      <c r="C21" s="35" t="inlineStr">
        <is>
          <t>İkisinin farkı</t>
        </is>
      </c>
      <c r="D21" s="6" t="n"/>
      <c r="E21" s="6" t="n"/>
      <c r="F21" s="6" t="n"/>
      <c r="G21" s="6" t="n"/>
    </row>
    <row r="23" ht="14" customHeight="1">
      <c r="A23" s="36" t="inlineStr">
        <is>
          <t>VARSAYIMLAR: Tutarlar USD cinsindendir ve tek gelistirici / dusuk trafik (gunluk &lt;1000 istek) varsayimiyla tahmin edilmistir.</t>
        </is>
      </c>
    </row>
    <row r="24" ht="14" customHeight="1">
      <c r="A24" s="36" t="inlineStr">
        <is>
          <t>Kaynak: 'Kalori Sayaci Uygulama Projesi Detaylari.pdf' - optimize edilmemis senaryoda aylik 100-200 $ gider ongoruluyordu; buradaki kalem kirilimi o araligi acar.</t>
        </is>
      </c>
    </row>
    <row r="25" ht="14" customHeight="1">
      <c r="A25" s="36" t="inlineStr">
        <is>
          <t>Apple Developer (99 $/yil) ve Google Play (25 $ tek seferlik) tutarlari 12 aya bolunerek aylik gosterilmistir.</t>
        </is>
      </c>
    </row>
    <row r="26" ht="39" customHeight="1">
      <c r="A26" s="36" t="inlineStr">
        <is>
          <t>MALIYET DUSURME TEKNIKLERI: (1) On-device isleme - barkod ve OCR'i buluta gondermeyip ML Kit ile telefonda calistir. (2) BaaS - kendi sunucunu yonetmek yerine Supabase/Firebase ucretsiz katmani. (3) Acik kaynak LLM - Groq uzerinde LLaMA 3. (4) Onbellekleme - ayni soruya ayni yanit API'ye gitmeden verilir. (5) Acik veri - Open Food Facts ile 0 $ urun veritabani. (6) Kural tabanli oneri - derin ogrenme yerine SQL/NoSQL filtreleme, GPU maliyeti sifir.</t>
        </is>
      </c>
    </row>
  </sheetData>
  <mergeCells count="9">
    <mergeCell ref="C21:G21"/>
    <mergeCell ref="A1:G1"/>
    <mergeCell ref="C20:G20"/>
    <mergeCell ref="A26:G26"/>
    <mergeCell ref="C19:G19"/>
    <mergeCell ref="A2:G2"/>
    <mergeCell ref="A24:G24"/>
    <mergeCell ref="A25:G25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58" customWidth="1" min="4" max="4"/>
    <col width="14" customWidth="1" min="5" max="5"/>
    <col width="44" customWidth="1" min="6" max="6"/>
  </cols>
  <sheetData>
    <row r="1" ht="30" customHeight="1">
      <c r="A1" s="1" t="inlineStr">
        <is>
          <t>VERI ELDE ETME PLANI  |  Kaynaklar, Lisanslar ve Isleme Adimlari</t>
        </is>
      </c>
    </row>
    <row r="2" ht="20" customHeight="1">
      <c r="A2" s="2" t="inlineStr">
        <is>
          <t>Projenin calismasi icin gereken tum dis veri: barkod/besin degerleri, yemek tarifleri, gorseller ve malzeme sozlugu.</t>
        </is>
      </c>
    </row>
    <row r="3" ht="32" customHeight="1">
      <c r="A3" s="7" t="inlineStr">
        <is>
          <t>Veri Türü</t>
        </is>
      </c>
      <c r="B3" s="7" t="inlineStr">
        <is>
          <t>Kaynak</t>
        </is>
      </c>
      <c r="C3" s="7" t="inlineStr">
        <is>
          <t>Erişim / Lisans</t>
        </is>
      </c>
      <c r="D3" s="7" t="inlineStr">
        <is>
          <t>Nasıl Alınacak ve İşlenecek</t>
        </is>
      </c>
      <c r="E3" s="7" t="inlineStr">
        <is>
          <t>Maliyet</t>
        </is>
      </c>
      <c r="F3" s="7" t="inlineStr">
        <is>
          <t>Risk / Dikkat Edilecek Nokta</t>
        </is>
      </c>
    </row>
    <row r="4" ht="41.8" customHeight="1">
      <c r="A4" s="23" t="inlineStr">
        <is>
          <t>Barkod + besin değeri</t>
        </is>
      </c>
      <c r="B4" s="23" t="inlineStr">
        <is>
          <t>Open Food Facts</t>
        </is>
      </c>
      <c r="C4" s="23" t="inlineStr">
        <is>
          <t>Ücretsiz, açık veri (ODbL)</t>
        </is>
      </c>
      <c r="D4" s="23" t="inlineStr">
        <is>
          <t>REST API (api/v2/product/{barcode}.json) ile anlık sorgu; ayrıca toplu CSV/MongoDB dump indirilip yerel kopya tutulabilir. Gelen veri products tablosuna önbelleklenir.</t>
        </is>
      </c>
      <c r="E4" s="22" t="inlineStr">
        <is>
          <t>0 $</t>
        </is>
      </c>
      <c r="F4" s="23" t="inlineStr">
        <is>
          <t>Türk yerel ürünlerinde kapsam boşluğu olabilir; eksikler kullanıcı katkısıyla (source='user') doldurulur.</t>
        </is>
      </c>
    </row>
    <row r="5" ht="41.8" customHeight="1">
      <c r="A5" s="25" t="inlineStr">
        <is>
          <t>Barkod (yedek kaynak)</t>
        </is>
      </c>
      <c r="B5" s="25" t="inlineStr">
        <is>
          <t>FatSecret Platform API</t>
        </is>
      </c>
      <c r="C5" s="25" t="inlineStr">
        <is>
          <t>Freemium (ücretsiz kota + ücretli plan)</t>
        </is>
      </c>
      <c r="D5" s="25" t="inlineStr">
        <is>
          <t>OAuth ile kimlik doğrulama, ürün ve besin sorgusu. Open Food Facts'te bulunamayan barkodlar için ikincil kaynak olarak kullanılır.</t>
        </is>
      </c>
      <c r="E5" s="24" t="inlineStr">
        <is>
          <t>0 $ (kota içinde)</t>
        </is>
      </c>
      <c r="F5" s="25" t="inlineStr">
        <is>
          <t>Kota aşımında ücretlendirme; atıf zorunluluğu var.</t>
        </is>
      </c>
    </row>
    <row r="6" ht="29.2" customHeight="1">
      <c r="A6" s="23" t="inlineStr">
        <is>
          <t>Besin değeri referansı</t>
        </is>
      </c>
      <c r="B6" s="23" t="inlineStr">
        <is>
          <t>USDA FoodData Central</t>
        </is>
      </c>
      <c r="C6" s="23" t="inlineStr">
        <is>
          <t>Ücretsiz, kamu malı</t>
        </is>
      </c>
      <c r="D6" s="23" t="inlineStr">
        <is>
          <t>Toplu veri indirilip temel gıdaların (pirinç, mercimek, tavuk) 100 g besin değerleri yerel tabloya aktarılır.</t>
        </is>
      </c>
      <c r="E6" s="22" t="inlineStr">
        <is>
          <t>0 $</t>
        </is>
      </c>
      <c r="F6" s="23" t="inlineStr">
        <is>
          <t>ABD odaklı; Türk mutfağı porsiyonlarıyla birebir örtüşmeyebilir.</t>
        </is>
      </c>
    </row>
    <row r="7" ht="54.4" customHeight="1">
      <c r="A7" s="25" t="inlineStr">
        <is>
          <t>Yemek tarifleri (toplu)</t>
        </is>
      </c>
      <c r="B7" s="25" t="inlineStr">
        <is>
          <t>Kaggle - Recipe Ingredients Dataset / RecipeNLG</t>
        </is>
      </c>
      <c r="C7" s="25" t="inlineStr">
        <is>
          <t>Araştırma / açık lisans (koşulları kontrol edilmeli)</t>
        </is>
      </c>
      <c r="D7" s="25" t="inlineStr">
        <is>
          <t>CSV indirilir, Pandas ile temizlenir: küçük harfe çevirme, boşluk kırpma, mükerrer temizliği, malzeme-miktar-birim ayrıştırma, kalori alanı eksikse hesaplama. Sonuç JSON'a çevrilip mongoimport ile yüklenir.</t>
        </is>
      </c>
      <c r="E7" s="24" t="inlineStr">
        <is>
          <t>0 $</t>
        </is>
      </c>
      <c r="F7" s="25" t="inlineStr">
        <is>
          <t>Lisans koşulları ticari kullanımı sınırlayabilir; yayın öncesi mutlaka doğrulanmalı.</t>
        </is>
      </c>
    </row>
    <row r="8" ht="54.4" customHeight="1">
      <c r="A8" s="23" t="inlineStr">
        <is>
          <t>Türk mutfağı tarifleri</t>
        </is>
      </c>
      <c r="B8" s="23" t="inlineStr">
        <is>
          <t>Telifsiz / açık lisanslı tarif siteleri + manuel giriş</t>
        </is>
      </c>
      <c r="C8" s="23" t="inlineStr">
        <is>
          <t>Site bazında değişir</t>
        </is>
      </c>
      <c r="D8" s="23" t="inlineStr">
        <is>
          <t>BeautifulSoup ile yalnızca robots.txt izin veren ve telif içermeyen kaynaklardan kazıma; ardından Pandas ile temizlik. Kritik 40 tarif elle girilerek kalite garanti altına alınır.</t>
        </is>
      </c>
      <c r="E8" s="22" t="inlineStr">
        <is>
          <t>0 $</t>
        </is>
      </c>
      <c r="F8" s="23" t="inlineStr">
        <is>
          <t>TELIF RISKI: Tarif metni telif korumasına girebilir. En güvenlisi malzeme listesinden yola çıkıp adımları kendin yazmaktır.</t>
        </is>
      </c>
    </row>
    <row r="9" ht="29.2" customHeight="1">
      <c r="A9" s="25" t="inlineStr">
        <is>
          <t>Tarif görselleri</t>
        </is>
      </c>
      <c r="B9" s="25" t="inlineStr">
        <is>
          <t>Unsplash / Pexels API</t>
        </is>
      </c>
      <c r="C9" s="25" t="inlineStr">
        <is>
          <t>Ücretsiz, atıf ile</t>
        </is>
      </c>
      <c r="D9" s="25" t="inlineStr">
        <is>
          <t>Tarif başlığına göre API'den görsel çekilip URL olarak saklanır (dosya barındırma maliyeti oluşmaz).</t>
        </is>
      </c>
      <c r="E9" s="24" t="inlineStr">
        <is>
          <t>0 $</t>
        </is>
      </c>
      <c r="F9" s="25" t="inlineStr">
        <is>
          <t>Alakasız görsel gelebilir; kritik tariflerde elle seçim yapılmalı.</t>
        </is>
      </c>
    </row>
    <row r="10" ht="54.4" customHeight="1">
      <c r="A10" s="23" t="inlineStr">
        <is>
          <t>Malzeme sözlüğü + birim tablosu</t>
        </is>
      </c>
      <c r="B10" s="23" t="inlineStr">
        <is>
          <t>Manuel üretim (proje içi)</t>
        </is>
      </c>
      <c r="C10" s="23" t="inlineStr">
        <is>
          <t>Proje mülkiyeti</t>
        </is>
      </c>
      <c r="D10" s="23" t="inlineStr">
        <is>
          <t>Tarif veri setindeki tüm malzeme adları frekansa göre sıralanır, ilk 150-200 tanesi canonical isimlere elle eşlenir. Birim dönüşüm tablosu (su bardağı, yemek kaşığı, kg/g) yazılır.</t>
        </is>
      </c>
      <c r="E10" s="22" t="inlineStr">
        <is>
          <t>0 $</t>
        </is>
      </c>
      <c r="F10" s="23" t="inlineStr">
        <is>
          <t>Projenin en kritik veri varlığı; eksik olursa tüm eşleştirme algoritması bozulur.</t>
        </is>
      </c>
    </row>
    <row r="11" ht="41.8" customHeight="1">
      <c r="A11" s="25" t="inlineStr">
        <is>
          <t>Kullanıcı verisi</t>
        </is>
      </c>
      <c r="B11" s="25" t="inlineStr">
        <is>
          <t>Uygulama içi onboarding + kullanım logları</t>
        </is>
      </c>
      <c r="C11" s="25" t="inlineStr">
        <is>
          <t>Kullanıcı onayı ile</t>
        </is>
      </c>
      <c r="D11" s="25" t="inlineStr">
        <is>
          <t>Onboarding anketi (diyet, alerjen, hedef, sevilen yemekler) + davranış logları (beğeni, yapılan tarif) toplanır ve öneri skorlamasını besler.</t>
        </is>
      </c>
      <c r="E11" s="24" t="inlineStr">
        <is>
          <t>0 $</t>
        </is>
      </c>
      <c r="F11" s="25" t="inlineStr">
        <is>
          <t>KVKK / GDPR: Aydınlatma metni, açık rıza ve veri silme hakkı zorunlu. Sağlık verisi hassas veri kategorisindedir.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E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8" customWidth="1" min="4" max="4"/>
    <col width="62" customWidth="1" min="5" max="5"/>
  </cols>
  <sheetData>
    <row r="1" ht="30" customHeight="1">
      <c r="A1" s="1" t="inlineStr">
        <is>
          <t>VERITABANI SEMASI  |  SQLite (iliskisel) + MongoDB (dokuman) Melez Mimari</t>
        </is>
      </c>
    </row>
    <row r="2" ht="20" customHeight="1">
      <c r="A2" s="2" t="inlineStr">
        <is>
          <t>Iliskisel veri (kullanici, kiler, kalori, alisveris) SQLite'ta; esnek dokuman verisi (tarifler) MongoDB'de tutulur. Iki taraf 'canonical_name' alani uzerinden eslesir.</t>
        </is>
      </c>
    </row>
    <row r="3" ht="32" customHeight="1">
      <c r="A3" s="7" t="inlineStr">
        <is>
          <t>Katman</t>
        </is>
      </c>
      <c r="B3" s="7" t="inlineStr">
        <is>
          <t>Tablo / Koleksiyon</t>
        </is>
      </c>
      <c r="C3" s="7" t="inlineStr">
        <is>
          <t>Alan</t>
        </is>
      </c>
      <c r="D3" s="7" t="inlineStr">
        <is>
          <t>Tip</t>
        </is>
      </c>
      <c r="E3" s="7" t="inlineStr">
        <is>
          <t>Açıklama / Kısıt</t>
        </is>
      </c>
    </row>
    <row r="4" ht="16.6" customHeight="1">
      <c r="A4" s="22" t="inlineStr">
        <is>
          <t>SQLite</t>
        </is>
      </c>
      <c r="B4" s="23" t="inlineStr">
        <is>
          <t>users</t>
        </is>
      </c>
      <c r="C4" s="23" t="inlineStr">
        <is>
          <t>id</t>
        </is>
      </c>
      <c r="D4" s="23" t="inlineStr">
        <is>
          <t>INTEGER PK</t>
        </is>
      </c>
      <c r="E4" s="23" t="inlineStr">
        <is>
          <t>Otomatik artan birincil anahtar</t>
        </is>
      </c>
    </row>
    <row r="5" ht="16.6" customHeight="1">
      <c r="A5" s="24" t="inlineStr">
        <is>
          <t>SQLite</t>
        </is>
      </c>
      <c r="B5" s="25" t="inlineStr">
        <is>
          <t>users</t>
        </is>
      </c>
      <c r="C5" s="25" t="inlineStr">
        <is>
          <t>email</t>
        </is>
      </c>
      <c r="D5" s="25" t="inlineStr">
        <is>
          <t>TEXT UNIQUE</t>
        </is>
      </c>
      <c r="E5" s="25" t="inlineStr">
        <is>
          <t>Giriş kimliği; benzersiz index</t>
        </is>
      </c>
    </row>
    <row r="6" ht="16.6" customHeight="1">
      <c r="A6" s="22" t="inlineStr">
        <is>
          <t>SQLite</t>
        </is>
      </c>
      <c r="B6" s="23" t="inlineStr">
        <is>
          <t>users</t>
        </is>
      </c>
      <c r="C6" s="23" t="inlineStr">
        <is>
          <t>hashed_password</t>
        </is>
      </c>
      <c r="D6" s="23" t="inlineStr">
        <is>
          <t>TEXT</t>
        </is>
      </c>
      <c r="E6" s="23" t="inlineStr">
        <is>
          <t>bcrypt ile hash'lenmiş; düz metin asla saklanmaz</t>
        </is>
      </c>
    </row>
    <row r="7" ht="16.6" customHeight="1">
      <c r="A7" s="24" t="inlineStr">
        <is>
          <t>SQLite</t>
        </is>
      </c>
      <c r="B7" s="25" t="inlineStr">
        <is>
          <t>users</t>
        </is>
      </c>
      <c r="C7" s="25" t="inlineStr">
        <is>
          <t>created_at</t>
        </is>
      </c>
      <c r="D7" s="25" t="inlineStr">
        <is>
          <t>DATETIME</t>
        </is>
      </c>
      <c r="E7" s="25" t="inlineStr">
        <is>
          <t>server_default=now()</t>
        </is>
      </c>
    </row>
    <row r="8" ht="16.6" customHeight="1">
      <c r="A8" s="22" t="inlineStr">
        <is>
          <t>SQLite</t>
        </is>
      </c>
      <c r="B8" s="23" t="inlineStr">
        <is>
          <t>user_profiles</t>
        </is>
      </c>
      <c r="C8" s="23" t="inlineStr">
        <is>
          <t>user_id</t>
        </is>
      </c>
      <c r="D8" s="23" t="inlineStr">
        <is>
          <t>INTEGER FK -&gt; users.id</t>
        </is>
      </c>
      <c r="E8" s="23" t="inlineStr">
        <is>
          <t>1:1 ilişki; ON DELETE CASCADE</t>
        </is>
      </c>
    </row>
    <row r="9" ht="29.2" customHeight="1">
      <c r="A9" s="24" t="inlineStr">
        <is>
          <t>SQLite</t>
        </is>
      </c>
      <c r="B9" s="25" t="inlineStr">
        <is>
          <t>user_profiles</t>
        </is>
      </c>
      <c r="C9" s="25" t="inlineStr">
        <is>
          <t>age / gender / height_cm / weight_kg</t>
        </is>
      </c>
      <c r="D9" s="25" t="inlineStr">
        <is>
          <t>INTEGER / TEXT / REAL</t>
        </is>
      </c>
      <c r="E9" s="25" t="inlineStr">
        <is>
          <t>BMR hesabı için onboarding'den gelir</t>
        </is>
      </c>
    </row>
    <row r="10" ht="16.6" customHeight="1">
      <c r="A10" s="22" t="inlineStr">
        <is>
          <t>SQLite</t>
        </is>
      </c>
      <c r="B10" s="23" t="inlineStr">
        <is>
          <t>user_profiles</t>
        </is>
      </c>
      <c r="C10" s="23" t="inlineStr">
        <is>
          <t>activity_level</t>
        </is>
      </c>
      <c r="D10" s="23" t="inlineStr">
        <is>
          <t>TEXT</t>
        </is>
      </c>
      <c r="E10" s="23" t="inlineStr">
        <is>
          <t>sedanter / hafif / orta / yuksek / cok_yuksek (TDEE katsayısı)</t>
        </is>
      </c>
    </row>
    <row r="11" ht="29.2" customHeight="1">
      <c r="A11" s="24" t="inlineStr">
        <is>
          <t>SQLite</t>
        </is>
      </c>
      <c r="B11" s="25" t="inlineStr">
        <is>
          <t>user_profiles</t>
        </is>
      </c>
      <c r="C11" s="25" t="inlineStr">
        <is>
          <t>goal</t>
        </is>
      </c>
      <c r="D11" s="25" t="inlineStr">
        <is>
          <t>TEXT</t>
        </is>
      </c>
      <c r="E11" s="25" t="inlineStr">
        <is>
          <t>kilo_verme / koruma / kilo_alma -&gt; hedef kaloriye -/+500 kcal etki eder</t>
        </is>
      </c>
    </row>
    <row r="12" ht="16.6" customHeight="1">
      <c r="A12" s="22" t="inlineStr">
        <is>
          <t>SQLite</t>
        </is>
      </c>
      <c r="B12" s="23" t="inlineStr">
        <is>
          <t>user_profiles</t>
        </is>
      </c>
      <c r="C12" s="23" t="inlineStr">
        <is>
          <t>daily_calorie_target</t>
        </is>
      </c>
      <c r="D12" s="23" t="inlineStr">
        <is>
          <t>REAL</t>
        </is>
      </c>
      <c r="E12" s="23" t="inlineStr">
        <is>
          <t>Mifflin-St Jeor + aktivite katsayısı ile hesaplanır</t>
        </is>
      </c>
    </row>
    <row r="13" ht="16.6" customHeight="1">
      <c r="A13" s="24" t="inlineStr">
        <is>
          <t>SQLite</t>
        </is>
      </c>
      <c r="B13" s="25" t="inlineStr">
        <is>
          <t>user_preferences</t>
        </is>
      </c>
      <c r="C13" s="25" t="inlineStr">
        <is>
          <t>user_id</t>
        </is>
      </c>
      <c r="D13" s="25" t="inlineStr">
        <is>
          <t>INTEGER FK</t>
        </is>
      </c>
      <c r="E13" s="25" t="inlineStr">
        <is>
          <t>N:1; kullanıcı başına birden çok tercih satırı</t>
        </is>
      </c>
    </row>
    <row r="14" ht="29.2" customHeight="1">
      <c r="A14" s="22" t="inlineStr">
        <is>
          <t>SQLite</t>
        </is>
      </c>
      <c r="B14" s="23" t="inlineStr">
        <is>
          <t>user_preferences</t>
        </is>
      </c>
      <c r="C14" s="23" t="inlineStr">
        <is>
          <t>pref_type / pref_value</t>
        </is>
      </c>
      <c r="D14" s="23" t="inlineStr">
        <is>
          <t>TEXT</t>
        </is>
      </c>
      <c r="E14" s="23" t="inlineStr">
        <is>
          <t>diet=vegan, allergen=findik, liked_cuisine=turk gibi anahtar-değer</t>
        </is>
      </c>
    </row>
    <row r="15" ht="16.6" customHeight="1">
      <c r="A15" s="24" t="inlineStr">
        <is>
          <t>SQLite</t>
        </is>
      </c>
      <c r="B15" s="25" t="inlineStr">
        <is>
          <t>user_preferences</t>
        </is>
      </c>
      <c r="C15" s="25" t="inlineStr">
        <is>
          <t>weight</t>
        </is>
      </c>
      <c r="D15" s="25" t="inlineStr">
        <is>
          <t>REAL</t>
        </is>
      </c>
      <c r="E15" s="25" t="inlineStr">
        <is>
          <t>Öğrenen profilin ağırlık vektörü; geri bildirimle güncellenir</t>
        </is>
      </c>
    </row>
    <row r="16" ht="16.6" customHeight="1">
      <c r="A16" s="22" t="inlineStr">
        <is>
          <t>SQLite</t>
        </is>
      </c>
      <c r="B16" s="23" t="inlineStr">
        <is>
          <t>products</t>
        </is>
      </c>
      <c r="C16" s="23" t="inlineStr">
        <is>
          <t>barcode</t>
        </is>
      </c>
      <c r="D16" s="23" t="inlineStr">
        <is>
          <t>TEXT UNIQUE</t>
        </is>
      </c>
      <c r="E16" s="23" t="inlineStr">
        <is>
          <t>Barkod önbelleğinin anahtarı; NULL olabilir (manuel ürün)</t>
        </is>
      </c>
    </row>
    <row r="17" ht="16.6" customHeight="1">
      <c r="A17" s="24" t="inlineStr">
        <is>
          <t>SQLite</t>
        </is>
      </c>
      <c r="B17" s="25" t="inlineStr">
        <is>
          <t>products</t>
        </is>
      </c>
      <c r="C17" s="25" t="inlineStr">
        <is>
          <t>name / brand</t>
        </is>
      </c>
      <c r="D17" s="25" t="inlineStr">
        <is>
          <t>TEXT</t>
        </is>
      </c>
      <c r="E17" s="25" t="inlineStr">
        <is>
          <t>Open Food Facts'ten veya kullanıcıdan gelir</t>
        </is>
      </c>
    </row>
    <row r="18" ht="29.2" customHeight="1">
      <c r="A18" s="22" t="inlineStr">
        <is>
          <t>SQLite</t>
        </is>
      </c>
      <c r="B18" s="23" t="inlineStr">
        <is>
          <t>products</t>
        </is>
      </c>
      <c r="C18" s="23" t="inlineStr">
        <is>
          <t>calories_per_100g / protein / carb / fat</t>
        </is>
      </c>
      <c r="D18" s="23" t="inlineStr">
        <is>
          <t>REAL</t>
        </is>
      </c>
      <c r="E18" s="23" t="inlineStr">
        <is>
          <t>Kalori ve makro hesabının temeli</t>
        </is>
      </c>
    </row>
    <row r="19" ht="29.2" customHeight="1">
      <c r="A19" s="24" t="inlineStr">
        <is>
          <t>SQLite</t>
        </is>
      </c>
      <c r="B19" s="25" t="inlineStr">
        <is>
          <t>products</t>
        </is>
      </c>
      <c r="C19" s="25" t="inlineStr">
        <is>
          <t>canonical_name</t>
        </is>
      </c>
      <c r="D19" s="25" t="inlineStr">
        <is>
          <t>TEXT INDEX</t>
        </is>
      </c>
      <c r="E19" s="25" t="inlineStr">
        <is>
          <t>Malzeme sözlüğündeki normalize ad - tarif eşleştirmesinin anahtarı</t>
        </is>
      </c>
    </row>
    <row r="20" ht="16.6" customHeight="1">
      <c r="A20" s="22" t="inlineStr">
        <is>
          <t>SQLite</t>
        </is>
      </c>
      <c r="B20" s="23" t="inlineStr">
        <is>
          <t>products</t>
        </is>
      </c>
      <c r="C20" s="23" t="inlineStr">
        <is>
          <t>source</t>
        </is>
      </c>
      <c r="D20" s="23" t="inlineStr">
        <is>
          <t>TEXT</t>
        </is>
      </c>
      <c r="E20" s="23" t="inlineStr">
        <is>
          <t>off / user / manual - veri güvenilirliğini izlemek için</t>
        </is>
      </c>
    </row>
    <row r="21" ht="16.6" customHeight="1">
      <c r="A21" s="24" t="inlineStr">
        <is>
          <t>SQLite</t>
        </is>
      </c>
      <c r="B21" s="25" t="inlineStr">
        <is>
          <t>pantry_items</t>
        </is>
      </c>
      <c r="C21" s="25" t="inlineStr">
        <is>
          <t>user_id / product_id</t>
        </is>
      </c>
      <c r="D21" s="25" t="inlineStr">
        <is>
          <t>INTEGER FK</t>
        </is>
      </c>
      <c r="E21" s="25" t="inlineStr">
        <is>
          <t>Kullanıcının kileri; 1:N ilişki</t>
        </is>
      </c>
    </row>
    <row r="22" ht="16.6" customHeight="1">
      <c r="A22" s="22" t="inlineStr">
        <is>
          <t>SQLite</t>
        </is>
      </c>
      <c r="B22" s="23" t="inlineStr">
        <is>
          <t>pantry_items</t>
        </is>
      </c>
      <c r="C22" s="23" t="inlineStr">
        <is>
          <t>quantity / unit</t>
        </is>
      </c>
      <c r="D22" s="23" t="inlineStr">
        <is>
          <t>REAL / TEXT</t>
        </is>
      </c>
      <c r="E22" s="23" t="inlineStr">
        <is>
          <t>Tek birimde normalize saklanır (5 kg -&gt; 5000 g)</t>
        </is>
      </c>
    </row>
    <row r="23" ht="16.6" customHeight="1">
      <c r="A23" s="24" t="inlineStr">
        <is>
          <t>SQLite</t>
        </is>
      </c>
      <c r="B23" s="25" t="inlineStr">
        <is>
          <t>pantry_items</t>
        </is>
      </c>
      <c r="C23" s="25" t="inlineStr">
        <is>
          <t>min_threshold</t>
        </is>
      </c>
      <c r="D23" s="25" t="inlineStr">
        <is>
          <t>REAL</t>
        </is>
      </c>
      <c r="E23" s="25" t="inlineStr">
        <is>
          <t>Kritik eşik; altına inince alışveriş listesi tetiklenir</t>
        </is>
      </c>
    </row>
    <row r="24" ht="16.6" customHeight="1">
      <c r="A24" s="22" t="inlineStr">
        <is>
          <t>SQLite</t>
        </is>
      </c>
      <c r="B24" s="23" t="inlineStr">
        <is>
          <t>pantry_items</t>
        </is>
      </c>
      <c r="C24" s="23" t="inlineStr">
        <is>
          <t>expiry_date</t>
        </is>
      </c>
      <c r="D24" s="23" t="inlineStr">
        <is>
          <t>DATE</t>
        </is>
      </c>
      <c r="E24" s="23" t="inlineStr">
        <is>
          <t>SKT takibi ve 'yakında bozulacaklar' bildirimi</t>
        </is>
      </c>
    </row>
    <row r="25" ht="16.6" customHeight="1">
      <c r="A25" s="24" t="inlineStr">
        <is>
          <t>SQLite</t>
        </is>
      </c>
      <c r="B25" s="25" t="inlineStr">
        <is>
          <t>shopping_list_items</t>
        </is>
      </c>
      <c r="C25" s="25" t="inlineStr">
        <is>
          <t>user_id / canonical_name</t>
        </is>
      </c>
      <c r="D25" s="25" t="inlineStr">
        <is>
          <t>INTEGER FK / TEXT</t>
        </is>
      </c>
      <c r="E25" s="25" t="inlineStr">
        <is>
          <t>Aynı ürün tekrar eklenirse miktar birleştirilir (upsert)</t>
        </is>
      </c>
    </row>
    <row r="26" ht="16.6" customHeight="1">
      <c r="A26" s="22" t="inlineStr">
        <is>
          <t>SQLite</t>
        </is>
      </c>
      <c r="B26" s="23" t="inlineStr">
        <is>
          <t>shopping_list_items</t>
        </is>
      </c>
      <c r="C26" s="23" t="inlineStr">
        <is>
          <t>source</t>
        </is>
      </c>
      <c r="D26" s="23" t="inlineStr">
        <is>
          <t>TEXT</t>
        </is>
      </c>
      <c r="E26" s="23" t="inlineStr">
        <is>
          <t>manuel / esik / tarif - listeye nereden düştüğünü gösterir</t>
        </is>
      </c>
    </row>
    <row r="27" ht="16.6" customHeight="1">
      <c r="A27" s="24" t="inlineStr">
        <is>
          <t>SQLite</t>
        </is>
      </c>
      <c r="B27" s="25" t="inlineStr">
        <is>
          <t>shopping_list_items</t>
        </is>
      </c>
      <c r="C27" s="25" t="inlineStr">
        <is>
          <t>is_checked</t>
        </is>
      </c>
      <c r="D27" s="25" t="inlineStr">
        <is>
          <t>BOOLEAN</t>
        </is>
      </c>
      <c r="E27" s="25" t="inlineStr">
        <is>
          <t>İşaretlenenler tek tuşla kilere aktarılır</t>
        </is>
      </c>
    </row>
    <row r="28" ht="16.6" customHeight="1">
      <c r="A28" s="22" t="inlineStr">
        <is>
          <t>SQLite</t>
        </is>
      </c>
      <c r="B28" s="23" t="inlineStr">
        <is>
          <t>meal_logs</t>
        </is>
      </c>
      <c r="C28" s="23" t="inlineStr">
        <is>
          <t>user_id / date / meal_type</t>
        </is>
      </c>
      <c r="D28" s="23" t="inlineStr">
        <is>
          <t>INTEGER FK / DATE / TEXT</t>
        </is>
      </c>
      <c r="E28" s="23" t="inlineStr">
        <is>
          <t>kahvalti / ogle / aksam / atistirma</t>
        </is>
      </c>
    </row>
    <row r="29" ht="16.6" customHeight="1">
      <c r="A29" s="24" t="inlineStr">
        <is>
          <t>SQLite</t>
        </is>
      </c>
      <c r="B29" s="25" t="inlineStr">
        <is>
          <t>meal_logs</t>
        </is>
      </c>
      <c r="C29" s="25" t="inlineStr">
        <is>
          <t>recipe_id / product_id</t>
        </is>
      </c>
      <c r="D29" s="25" t="inlineStr">
        <is>
          <t>TEXT / INTEGER</t>
        </is>
      </c>
      <c r="E29" s="25" t="inlineStr">
        <is>
          <t>Tarif MongoDB _id'si veya ürün referansı (biri dolu olur)</t>
        </is>
      </c>
    </row>
    <row r="30" ht="29.2" customHeight="1">
      <c r="A30" s="22" t="inlineStr">
        <is>
          <t>SQLite</t>
        </is>
      </c>
      <c r="B30" s="23" t="inlineStr">
        <is>
          <t>meal_logs</t>
        </is>
      </c>
      <c r="C30" s="23" t="inlineStr">
        <is>
          <t>servings / calories / macros</t>
        </is>
      </c>
      <c r="D30" s="23" t="inlineStr">
        <is>
          <t>REAL</t>
        </is>
      </c>
      <c r="E30" s="23" t="inlineStr">
        <is>
          <t>Porsiyon çarpanı uygulanmış nihai değerler</t>
        </is>
      </c>
    </row>
    <row r="31" ht="16.6" customHeight="1">
      <c r="A31" s="24" t="inlineStr">
        <is>
          <t>SQLite</t>
        </is>
      </c>
      <c r="B31" s="25" t="inlineStr">
        <is>
          <t>recipe_feedback</t>
        </is>
      </c>
      <c r="C31" s="25" t="inlineStr">
        <is>
          <t>user_id / recipe_id</t>
        </is>
      </c>
      <c r="D31" s="25" t="inlineStr">
        <is>
          <t>INTEGER FK / TEXT</t>
        </is>
      </c>
      <c r="E31" s="25" t="inlineStr">
        <is>
          <t>Öğrenen AI'nın eğitim sinyali</t>
        </is>
      </c>
    </row>
    <row r="32" ht="16.6" customHeight="1">
      <c r="A32" s="22" t="inlineStr">
        <is>
          <t>SQLite</t>
        </is>
      </c>
      <c r="B32" s="23" t="inlineStr">
        <is>
          <t>recipe_feedback</t>
        </is>
      </c>
      <c r="C32" s="23" t="inlineStr">
        <is>
          <t>action</t>
        </is>
      </c>
      <c r="D32" s="23" t="inlineStr">
        <is>
          <t>TEXT</t>
        </is>
      </c>
      <c r="E32" s="23" t="inlineStr">
        <is>
          <t>begendim / begenmedim / yaptim - etiket ağırlıklarını günceller</t>
        </is>
      </c>
    </row>
    <row r="33" ht="16.6" customHeight="1">
      <c r="A33" s="24" t="inlineStr">
        <is>
          <t>SQLite</t>
        </is>
      </c>
      <c r="B33" s="25" t="inlineStr">
        <is>
          <t>llm_cache</t>
        </is>
      </c>
      <c r="C33" s="25" t="inlineStr">
        <is>
          <t>prompt_hash</t>
        </is>
      </c>
      <c r="D33" s="25" t="inlineStr">
        <is>
          <t>TEXT PK</t>
        </is>
      </c>
      <c r="E33" s="25" t="inlineStr">
        <is>
          <t>Soru + kiler parmak izinin hash'i; LLM maliyetini düşürür</t>
        </is>
      </c>
    </row>
    <row r="34" ht="16.6" customHeight="1">
      <c r="A34" s="22" t="inlineStr">
        <is>
          <t>SQLite</t>
        </is>
      </c>
      <c r="B34" s="23" t="inlineStr">
        <is>
          <t>llm_cache</t>
        </is>
      </c>
      <c r="C34" s="23" t="inlineStr">
        <is>
          <t>response_json / created_at</t>
        </is>
      </c>
      <c r="D34" s="23" t="inlineStr">
        <is>
          <t>TEXT / DATETIME</t>
        </is>
      </c>
      <c r="E34" s="23" t="inlineStr">
        <is>
          <t>Önbellek yanıtı ve geçerlilik süresi (TTL)</t>
        </is>
      </c>
    </row>
    <row r="35" ht="16.6" customHeight="1">
      <c r="A35" s="24" t="inlineStr">
        <is>
          <t>MongoDB</t>
        </is>
      </c>
      <c r="B35" s="25" t="inlineStr">
        <is>
          <t>recipes</t>
        </is>
      </c>
      <c r="C35" s="25" t="inlineStr">
        <is>
          <t>_id</t>
        </is>
      </c>
      <c r="D35" s="25" t="inlineStr">
        <is>
          <t>ObjectId</t>
        </is>
      </c>
      <c r="E35" s="25" t="inlineStr">
        <is>
          <t>Tarif kimliği; SQLite tarafında string olarak referanslanır</t>
        </is>
      </c>
    </row>
    <row r="36" ht="16.6" customHeight="1">
      <c r="A36" s="22" t="inlineStr">
        <is>
          <t>MongoDB</t>
        </is>
      </c>
      <c r="B36" s="23" t="inlineStr">
        <is>
          <t>recipes</t>
        </is>
      </c>
      <c r="C36" s="23" t="inlineStr">
        <is>
          <t>title / slug / image_url</t>
        </is>
      </c>
      <c r="D36" s="23" t="inlineStr">
        <is>
          <t>String</t>
        </is>
      </c>
      <c r="E36" s="23" t="inlineStr">
        <is>
          <t>Kart görünümü için temel alanlar</t>
        </is>
      </c>
    </row>
    <row r="37" ht="29.2" customHeight="1">
      <c r="A37" s="24" t="inlineStr">
        <is>
          <t>MongoDB</t>
        </is>
      </c>
      <c r="B37" s="25" t="inlineStr">
        <is>
          <t>recipes</t>
        </is>
      </c>
      <c r="C37" s="25" t="inlineStr">
        <is>
          <t>ingredients[]</t>
        </is>
      </c>
      <c r="D37" s="25" t="inlineStr">
        <is>
          <t>Array&lt;Object&gt;</t>
        </is>
      </c>
      <c r="E37" s="25" t="inlineStr">
        <is>
          <t>{name, canonical_name, quantity, unit, optional} - eşleştirme bu dizide yapılır</t>
        </is>
      </c>
    </row>
    <row r="38" ht="16.6" customHeight="1">
      <c r="A38" s="22" t="inlineStr">
        <is>
          <t>MongoDB</t>
        </is>
      </c>
      <c r="B38" s="23" t="inlineStr">
        <is>
          <t>recipes</t>
        </is>
      </c>
      <c r="C38" s="23" t="inlineStr">
        <is>
          <t>steps[]</t>
        </is>
      </c>
      <c r="D38" s="23" t="inlineStr">
        <is>
          <t>Array&lt;String&gt;</t>
        </is>
      </c>
      <c r="E38" s="23" t="inlineStr">
        <is>
          <t>Numaralı yapılış adımları</t>
        </is>
      </c>
    </row>
    <row r="39" ht="16.6" customHeight="1">
      <c r="A39" s="24" t="inlineStr">
        <is>
          <t>MongoDB</t>
        </is>
      </c>
      <c r="B39" s="25" t="inlineStr">
        <is>
          <t>recipes</t>
        </is>
      </c>
      <c r="C39" s="25" t="inlineStr">
        <is>
          <t>calories_per_serving</t>
        </is>
      </c>
      <c r="D39" s="25" t="inlineStr">
        <is>
          <t>Number INDEX</t>
        </is>
      </c>
      <c r="E39" s="25" t="inlineStr">
        <is>
          <t>Kalan kaloriye göre filtreleme için indexlenir</t>
        </is>
      </c>
    </row>
    <row r="40" ht="16.6" customHeight="1">
      <c r="A40" s="22" t="inlineStr">
        <is>
          <t>MongoDB</t>
        </is>
      </c>
      <c r="B40" s="23" t="inlineStr">
        <is>
          <t>recipes</t>
        </is>
      </c>
      <c r="C40" s="23" t="inlineStr">
        <is>
          <t>macros</t>
        </is>
      </c>
      <c r="D40" s="23" t="inlineStr">
        <is>
          <t>Object</t>
        </is>
      </c>
      <c r="E40" s="23" t="inlineStr">
        <is>
          <t>{protein, carb, fat} - gram cinsinden</t>
        </is>
      </c>
    </row>
    <row r="41" ht="16.6" customHeight="1">
      <c r="A41" s="24" t="inlineStr">
        <is>
          <t>MongoDB</t>
        </is>
      </c>
      <c r="B41" s="25" t="inlineStr">
        <is>
          <t>recipes</t>
        </is>
      </c>
      <c r="C41" s="25" t="inlineStr">
        <is>
          <t>servings</t>
        </is>
      </c>
      <c r="D41" s="25" t="inlineStr">
        <is>
          <t>Number</t>
        </is>
      </c>
      <c r="E41" s="25" t="inlineStr">
        <is>
          <t>Porsiyon ölçekleme çarpanının paydası</t>
        </is>
      </c>
    </row>
    <row r="42" ht="16.6" customHeight="1">
      <c r="A42" s="22" t="inlineStr">
        <is>
          <t>MongoDB</t>
        </is>
      </c>
      <c r="B42" s="23" t="inlineStr">
        <is>
          <t>recipes</t>
        </is>
      </c>
      <c r="C42" s="23" t="inlineStr">
        <is>
          <t>prep_time / cook_time</t>
        </is>
      </c>
      <c r="D42" s="23" t="inlineStr">
        <is>
          <t>Number</t>
        </is>
      </c>
      <c r="E42" s="23" t="inlineStr">
        <is>
          <t>Dakika; '30 dk altı' hızlı filtresi için</t>
        </is>
      </c>
    </row>
    <row r="43" ht="16.6" customHeight="1">
      <c r="A43" s="24" t="inlineStr">
        <is>
          <t>MongoDB</t>
        </is>
      </c>
      <c r="B43" s="25" t="inlineStr">
        <is>
          <t>recipes</t>
        </is>
      </c>
      <c r="C43" s="25" t="inlineStr">
        <is>
          <t>diet_tags[]</t>
        </is>
      </c>
      <c r="D43" s="25" t="inlineStr">
        <is>
          <t>Array&lt;String&gt; INDEX</t>
        </is>
      </c>
      <c r="E43" s="25" t="inlineStr">
        <is>
          <t>vegan / vejetaryen / glutensiz / laktozsuz - $in filtresi</t>
        </is>
      </c>
    </row>
    <row r="44" ht="29.2" customHeight="1">
      <c r="A44" s="22" t="inlineStr">
        <is>
          <t>MongoDB</t>
        </is>
      </c>
      <c r="B44" s="23" t="inlineStr">
        <is>
          <t>recipes</t>
        </is>
      </c>
      <c r="C44" s="23" t="inlineStr">
        <is>
          <t>allergens[]</t>
        </is>
      </c>
      <c r="D44" s="23" t="inlineStr">
        <is>
          <t>Array&lt;String&gt;</t>
        </is>
      </c>
      <c r="E44" s="23" t="inlineStr">
        <is>
          <t>findik / gluten / laktoz / deniz_urunu - $nin filtresi (güvenlik kritik)</t>
        </is>
      </c>
    </row>
    <row r="45" ht="16.6" customHeight="1">
      <c r="A45" s="24" t="inlineStr">
        <is>
          <t>MongoDB</t>
        </is>
      </c>
      <c r="B45" s="25" t="inlineStr">
        <is>
          <t>recipes</t>
        </is>
      </c>
      <c r="C45" s="25" t="inlineStr">
        <is>
          <t>cuisine / difficulty</t>
        </is>
      </c>
      <c r="D45" s="25" t="inlineStr">
        <is>
          <t>String</t>
        </is>
      </c>
      <c r="E45" s="25" t="inlineStr">
        <is>
          <t>turk / italyan / uzakdogu ; kolay / orta / zor</t>
        </is>
      </c>
    </row>
  </sheetData>
  <autoFilter ref="A3:E45"/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D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52" customWidth="1" min="3" max="3"/>
    <col width="52" customWidth="1" min="4" max="4"/>
  </cols>
  <sheetData>
    <row r="1" ht="30" customHeight="1">
      <c r="A1" s="1" t="inlineStr">
        <is>
          <t>RAKIP ANALIZI VE PAZARDAKI BOSLUKLAR (App Store / Play Store)</t>
        </is>
      </c>
    </row>
    <row r="2" ht="20" customHeight="1">
      <c r="A2" s="2" t="inlineStr">
        <is>
          <t>Temel fark: rakipler ya kalori sayiyor ya tarif veriyor. Bu uygulama 'Mutfak Envanteri (Kiler) + Hedef Kalori' kesisiminde calisir.</t>
        </is>
      </c>
    </row>
    <row r="3" ht="32" customHeight="1">
      <c r="A3" s="7" t="inlineStr">
        <is>
          <t>Rakip Uygulama</t>
        </is>
      </c>
      <c r="B3" s="7" t="inlineStr">
        <is>
          <t>Güçlü Yönleri</t>
        </is>
      </c>
      <c r="C3" s="7" t="inlineStr">
        <is>
          <t>Zayıf Yönleri (Senin Fırsatın)</t>
        </is>
      </c>
      <c r="D3" s="7" t="inlineStr">
        <is>
          <t>Bu Projede Nasıl Fark Yaratılıyor?</t>
        </is>
      </c>
    </row>
    <row r="4" ht="54.4" customHeight="1">
      <c r="A4" s="23" t="inlineStr">
        <is>
          <t>MyFitnessPal / Yazio</t>
        </is>
      </c>
      <c r="B4" s="23" t="inlineStr">
        <is>
          <t>Dev kalori ve barkod veritabanı, olgun kullanıcı kitlesi, güçlü makro takibi ve alışkanlık serileri.</t>
        </is>
      </c>
      <c r="C4" s="23" t="inlineStr">
        <is>
          <t>'Evde ne var, ne pişirebilirim?' mantığı sıfır. Sadece yediğini girersin; kiler/envanter yönetimi yok. Gıda israfına dair hiçbir şey sunmaz.</t>
        </is>
      </c>
      <c r="D4" s="23" t="inlineStr">
        <is>
          <t>Kiler envanteri birinci sınıf özellik: barkodla giren ürün stoktan düşer, eşik altına inince alışveriş listesine düşer. Kalori takibi kilerle aynı döngüde çalışır.</t>
        </is>
      </c>
    </row>
    <row r="5" ht="41.8" customHeight="1">
      <c r="A5" s="25" t="inlineStr">
        <is>
          <t>SuperCook / Yummly</t>
        </is>
      </c>
      <c r="B5" s="25" t="inlineStr">
        <is>
          <t>Eldeki malzemelere göre çok iyi tarif eşleştirme, geniş tarif havuzu, malzeme bazlı arama.</t>
        </is>
      </c>
      <c r="C5" s="25" t="inlineStr">
        <is>
          <t>Kalori ve makro besin takibi çok zayıf. Alışveriş fişi tarama gibi otomatik envanter araçları yok; malzemeleri elle işaretlemek zahmetli.</t>
        </is>
      </c>
      <c r="D5" s="25" t="inlineStr">
        <is>
          <t>Malzeme girişi barkod (MVP) ve ileride fiş OCR (V3) ile otomatikleşir. Tarif önerisi kalan günlük kaloriye göre de süzülür.</t>
        </is>
      </c>
    </row>
    <row r="6" ht="41.8" customHeight="1">
      <c r="A6" s="23" t="inlineStr">
        <is>
          <t>FatSecret</t>
        </is>
      </c>
      <c r="B6" s="23" t="inlineStr">
        <is>
          <t>Topluluk desteği, ücretsiz kullanım, geniş gıda veritabanı ve kilo günlüğü.</t>
        </is>
      </c>
      <c r="C6" s="23" t="inlineStr">
        <is>
          <t>Kişiselleştirilmiş akıllı asistan (chatbot) deneyimi yok; kullanıcı arayüzü çok eski ve öneri motoru pasif.</t>
        </is>
      </c>
      <c r="D6" s="23" t="inlineStr">
        <is>
          <t>Doğal dilde konuşan RAG tabanlı asistan: 'Bugün hafif bir şey yemek istiyorum' -&gt; kilerdeki malzeme + kalan kalori + tercihlerle gerçek tarif önerisi.</t>
        </is>
      </c>
    </row>
    <row r="7" ht="29.2" customHeight="1">
      <c r="A7" s="25" t="inlineStr">
        <is>
          <t>Yerel tarif uygulamaları (Nefis Yemek Tarifleri vb.)</t>
        </is>
      </c>
      <c r="B7" s="25" t="inlineStr">
        <is>
          <t>Türkçe içerik zenginliği, yerel mutfağa hakimiyet, güçlü topluluk.</t>
        </is>
      </c>
      <c r="C7" s="25" t="inlineStr">
        <is>
          <t>Kalori/beslenme takibi ve kiler yönetimi yok; öneriler kişiselleştirilmiyor, envanterle bağlantısız.</t>
        </is>
      </c>
      <c r="D7" s="25" t="inlineStr">
        <is>
          <t>Türk mutfağı tarifleri seed veriye dahil ediliyor ve kişisel profil + kiler verisiyle birleştiriliyor.</t>
        </is>
      </c>
    </row>
    <row r="8" ht="54.4" customHeight="1">
      <c r="A8" s="23" t="inlineStr">
        <is>
          <t>Global rakiplerin ortak zafiyeti</t>
        </is>
      </c>
      <c r="B8" s="23" t="inlineStr">
        <is>
          <t>-</t>
        </is>
      </c>
      <c r="C8" s="23" t="inlineStr">
        <is>
          <t>Türkiye pazarındaki yerel ürünlerin (Torku, Ülker, yerel market barkodları ve fişleri) tanınması çok kötü.</t>
        </is>
      </c>
      <c r="D8" s="23" t="inlineStr">
        <is>
          <t>Türkçe barkod/ürün havuzu kullanıcı katkısıyla büyütülüyor; V3'te Türkçe market fişi okuma (Migros, A101, BİM kısaltma sözlüğü) ile lokal pazarda belirgin üstünlük sağlanıyor.</t>
        </is>
      </c>
    </row>
    <row r="9" ht="54.4" customHeight="1">
      <c r="A9" s="37" t="inlineStr">
        <is>
          <t>BENZERSIZ DEGER ONERISI (USP)</t>
        </is>
      </c>
      <c r="B9" s="37" t="inlineStr">
        <is>
          <t>Kiler + Kalori + Yapay Zeka üçlüsünün tek uygulamada birleşmesi.</t>
        </is>
      </c>
      <c r="C9" s="37" t="inlineStr">
        <is>
          <t>Rakiplerin hiçbiri bu üç ekseni aynı anda kapatmıyor.</t>
        </is>
      </c>
      <c r="D9" s="37" t="inlineStr">
        <is>
          <t>'Elimdeki malzemelerle, kalori hedefimi aşmadan, sevdiğim tarzda ne pişirebilirim?' sorusuna tek ekranda cevap veren, kullandıkça öğrenen ve gıda israfını azaltan asistan.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E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40" customWidth="1" min="4" max="4"/>
    <col width="60" customWidth="1" min="5" max="5"/>
  </cols>
  <sheetData>
    <row r="1" ht="30" customHeight="1">
      <c r="A1" s="1" t="inlineStr">
        <is>
          <t>RISK YONETIMI  |  20 Gunluk Sprintte Plani Bozabilecek Maddeler</t>
        </is>
      </c>
    </row>
    <row r="2" ht="20" customHeight="1">
      <c r="A2" s="2" t="inlineStr">
        <is>
          <t>Olasilik ve etki: Dusuk / Orta / Yuksek. Her risk icin erken uyari sinyali ve B plani tanimlanmistir.</t>
        </is>
      </c>
    </row>
    <row r="3" ht="32" customHeight="1">
      <c r="A3" s="7" t="inlineStr">
        <is>
          <t>Risk</t>
        </is>
      </c>
      <c r="B3" s="7" t="inlineStr">
        <is>
          <t>Olasılık</t>
        </is>
      </c>
      <c r="C3" s="7" t="inlineStr">
        <is>
          <t>Etki</t>
        </is>
      </c>
      <c r="D3" s="7" t="inlineStr">
        <is>
          <t>Erken Uyarı Sinyali</t>
        </is>
      </c>
      <c r="E3" s="7" t="inlineStr">
        <is>
          <t>Önlem / B Planı</t>
        </is>
      </c>
    </row>
    <row r="4" ht="41.8" customHeight="1">
      <c r="A4" s="23" t="inlineStr">
        <is>
          <t>Native build hataları (Expo Dev Client / VisionCamera)</t>
        </is>
      </c>
      <c r="B4" s="22" t="inlineStr">
        <is>
          <t>Yüksek</t>
        </is>
      </c>
      <c r="C4" s="22" t="inlineStr">
        <is>
          <t>Yüksek</t>
        </is>
      </c>
      <c r="D4" s="23" t="inlineStr">
        <is>
          <t>İlk dev client derlemesi 2. günde hâlâ başarısızsa.</t>
        </is>
      </c>
      <c r="E4" s="23" t="inlineStr">
        <is>
          <t>Barkod için yedek plan: expo-camera'nın yerleşik barcode scanner API'si. Derleme sorunlarına en geç 8. günde 4 saatlik zaman kutusu (timebox) konur, aşılırsa yedeğe geçilir.</t>
        </is>
      </c>
    </row>
    <row r="5" ht="41.8" customHeight="1">
      <c r="A5" s="25" t="inlineStr">
        <is>
          <t>Open Food Facts'te Türk ürünlerinin bulunamaması</t>
        </is>
      </c>
      <c r="B5" s="24" t="inlineStr">
        <is>
          <t>Yüksek</t>
        </is>
      </c>
      <c r="C5" s="24" t="inlineStr">
        <is>
          <t>Orta</t>
        </is>
      </c>
      <c r="D5" s="25" t="inlineStr">
        <is>
          <t>Test edilen 10 yerel barkoddan 4'ünden azı sonuç dönüyorsa.</t>
        </is>
      </c>
      <c r="E5" s="25" t="inlineStr">
        <is>
          <t>W2-T05 manuel kayıt fallback'i zaten planda. Ek olarak demo için 20 popüler ürün önceden products tablosuna seed edilir; sunumda 'boş sonuç' riski sıfırlanır.</t>
        </is>
      </c>
    </row>
    <row r="6" ht="54.4" customHeight="1">
      <c r="A6" s="23" t="inlineStr">
        <is>
          <t>LLM kotası, gecikmesi veya yanıt kalitesi</t>
        </is>
      </c>
      <c r="B6" s="22" t="inlineStr">
        <is>
          <t>Orta</t>
        </is>
      </c>
      <c r="C6" s="22" t="inlineStr">
        <is>
          <t>Yüksek</t>
        </is>
      </c>
      <c r="D6" s="23" t="inlineStr">
        <is>
          <t>Yanıt süresi 5 saniyeyi geçiyor veya JSON formatı bozuk dönüyorsa.</t>
        </is>
      </c>
      <c r="E6" s="23" t="inlineStr">
        <is>
          <t>Groq yerine OpenAI gpt-4o-mini'ye geçiş tek satır olacak şekilde LLM katmanı soyutlanır (W3-T10). JSON parse hatasında kural tabanlı öneri listesine düşülür - chatbot çökmez, sadece daha az sohbet eder.</t>
        </is>
      </c>
    </row>
    <row r="7" ht="41.8" customHeight="1">
      <c r="A7" s="25" t="inlineStr">
        <is>
          <t>Tarif veri setinin kalitesiz/eksik çıkması</t>
        </is>
      </c>
      <c r="B7" s="24" t="inlineStr">
        <is>
          <t>Orta</t>
        </is>
      </c>
      <c r="C7" s="24" t="inlineStr">
        <is>
          <t>Yüksek</t>
        </is>
      </c>
      <c r="D7" s="25" t="inlineStr">
        <is>
          <t>Seed sonrası tariflerin %30'undan fazlasında kalori veya malzeme alanı boşsa.</t>
        </is>
      </c>
      <c r="E7" s="25" t="inlineStr">
        <is>
          <t>Kalite eşiğini geçemeyen tarifler ayıklanır; 40 Türk tarifi elle girildiği için demo her koşulda çalışır. Kalori boşsa malzemelerden yaklaşık hesaplanır.</t>
        </is>
      </c>
    </row>
    <row r="8" ht="41.8" customHeight="1">
      <c r="A8" s="23" t="inlineStr">
        <is>
          <t>Malzeme eşleştirmesinin yanlış sonuç vermesi</t>
        </is>
      </c>
      <c r="B8" s="22" t="inlineStr">
        <is>
          <t>Yüksek</t>
        </is>
      </c>
      <c r="C8" s="22" t="inlineStr">
        <is>
          <t>Yüksek</t>
        </is>
      </c>
      <c r="D8" s="23" t="inlineStr">
        <is>
          <t>Test senaryolarında eşleşme doğruluğu %85'in altına düşerse.</t>
        </is>
      </c>
      <c r="E8" s="23" t="inlineStr">
        <is>
          <t>Malzeme sözlüğü (W1-T12) tek doğruluk kaynağı olarak erken kurulur; W3-T16'da yanlış eşleşmeler sözlüğe geri beslenir. Eşleşmeyen malzeme 'gri' gösterilerek kullanıcı yanıltılmaz.</t>
        </is>
      </c>
    </row>
    <row r="9" ht="41.8" customHeight="1">
      <c r="A9" s="25" t="inlineStr">
        <is>
          <t>Birim dönüşümü hataları (kg/g/su bardağı)</t>
        </is>
      </c>
      <c r="B9" s="24" t="inlineStr">
        <is>
          <t>Orta</t>
        </is>
      </c>
      <c r="C9" s="24" t="inlineStr">
        <is>
          <t>Yüksek</t>
        </is>
      </c>
      <c r="D9" s="25" t="inlineStr">
        <is>
          <t>Stok düşümünde negatif miktar veya beklenmedik büyüklükte düşüm görülürse.</t>
        </is>
      </c>
      <c r="E9" s="25" t="inlineStr">
        <is>
          <t>Tüm miktarlar tek temel birimde (g/ml) saklanır; dönüşüm tek bir fonksiyonda toplanır ve pytest ile 20+ vaka test edilir (W4-T09). Negatif stok DB seviyesinde CHECK ile engellenir.</t>
        </is>
      </c>
    </row>
    <row r="10" ht="41.8" customHeight="1">
      <c r="A10" s="23" t="inlineStr">
        <is>
          <t>Kapsam kayması (scope creep)</t>
        </is>
      </c>
      <c r="B10" s="22" t="inlineStr">
        <is>
          <t>Yüksek</t>
        </is>
      </c>
      <c r="C10" s="22" t="inlineStr">
        <is>
          <t>Yüksek</t>
        </is>
      </c>
      <c r="D10" s="23" t="inlineStr">
        <is>
          <t>Plan dışı bir özellik için 'sadece yarım gün sürer' denildiğinde.</t>
        </is>
      </c>
      <c r="E10" s="23" t="inlineStr">
        <is>
          <t>Fiş OCR ve görsel obje tanıma yazılı olarak V3'e alınmıştır (V2-V3 Backlog sayfası). Yeni her fikir doğrudan backlog'a yazılır, sprint'e alınmaz.</t>
        </is>
      </c>
    </row>
    <row r="11" ht="41.8" customHeight="1">
      <c r="A11" s="25" t="inlineStr">
        <is>
          <t>Zaman tahminlerinin sapması</t>
        </is>
      </c>
      <c r="B11" s="24" t="inlineStr">
        <is>
          <t>Orta</t>
        </is>
      </c>
      <c r="C11" s="24" t="inlineStr">
        <is>
          <t>Orta</t>
        </is>
      </c>
      <c r="D11" s="25" t="inlineStr">
        <is>
          <t>Herhangi bir haftanın sonunda tamamlanan saat, planlananın %80'inin altındaysa.</t>
        </is>
      </c>
      <c r="E11" s="25" t="inlineStr">
        <is>
          <t>W4-T17 tampon görevi ve düşük öncelikli W4-T07 (SKT bildirimi) esnetme payıdır. Gerekirse chatbot arayüzü sadeleştirilir, algoritma korunur.</t>
        </is>
      </c>
    </row>
    <row r="12" ht="41.8" customHeight="1">
      <c r="A12" s="23" t="inlineStr">
        <is>
          <t>Cihaz/emülatör ve kamera izin sorunları</t>
        </is>
      </c>
      <c r="B12" s="22" t="inlineStr">
        <is>
          <t>Orta</t>
        </is>
      </c>
      <c r="C12" s="22" t="inlineStr">
        <is>
          <t>Orta</t>
        </is>
      </c>
      <c r="D12" s="23" t="inlineStr">
        <is>
          <t>Kamera ekranı emülatörde siyah kalıyorsa.</t>
        </is>
      </c>
      <c r="E12" s="23" t="inlineStr">
        <is>
          <t>Barkod testleri gerçek cihazda yapılır; emülatör için sahte (mock) barkod girişi eklenir, böylece geliştirme cihazsız da sürer.</t>
        </is>
      </c>
    </row>
    <row r="13" ht="41.8" customHeight="1">
      <c r="A13" s="25" t="inlineStr">
        <is>
          <t>KVKK / gizlilik yükümlülükleri</t>
        </is>
      </c>
      <c r="B13" s="24" t="inlineStr">
        <is>
          <t>Düşük</t>
        </is>
      </c>
      <c r="C13" s="24" t="inlineStr">
        <is>
          <t>Orta</t>
        </is>
      </c>
      <c r="D13" s="25" t="inlineStr">
        <is>
          <t>Sunum veya yayın öncesi aydınlatma metni sorulduğunda.</t>
        </is>
      </c>
      <c r="E13" s="25" t="inlineStr">
        <is>
          <t>Onboarding'de kısa bir aydınlatma metni ve rıza kutusu; sağlık verisi hassas veri kategorisinde olduğu için hesap silme (veri imha) endpoint'i eklenir.</t>
        </is>
      </c>
    </row>
    <row r="14" ht="54.4" customHeight="1">
      <c r="A14" s="23" t="inlineStr">
        <is>
          <t>Telif hakkı (kazınan tarif içerikleri)</t>
        </is>
      </c>
      <c r="B14" s="22" t="inlineStr">
        <is>
          <t>Orta</t>
        </is>
      </c>
      <c r="C14" s="22" t="inlineStr">
        <is>
          <t>Yüksek</t>
        </is>
      </c>
      <c r="D14" s="23" t="inlineStr">
        <is>
          <t>Tarif metinleri birebir başka bir siteden alınmışsa.</t>
        </is>
      </c>
      <c r="E14" s="23" t="inlineStr">
        <is>
          <t>Yalnızca telifsiz/açık lisanslı kaynaklar kullanılır; malzeme listesi veriden alınıp yapılış adımları yeniden yazılır. Kaynak ve lisans bilgisi Veri Kaynakları sayfasında kayıt altındadır.</t>
        </is>
      </c>
    </row>
    <row r="15" ht="41.8" customHeight="1">
      <c r="A15" s="25" t="inlineStr">
        <is>
          <t>Staj sunumunda demo çökmesi</t>
        </is>
      </c>
      <c r="B15" s="24" t="inlineStr">
        <is>
          <t>Düşük</t>
        </is>
      </c>
      <c r="C15" s="24" t="inlineStr">
        <is>
          <t>Yüksek</t>
        </is>
      </c>
      <c r="D15" s="25" t="inlineStr">
        <is>
          <t>Sunum provasında internet veya API bağımlı bir adım takılıyorsa.</t>
        </is>
      </c>
      <c r="E15" s="25" t="inlineStr">
        <is>
          <t>Sunum için önceden kaydedilmiş demo videosu (W4-T16) hazır tutulur; ayrıca çevrimdışı seed veriyle çalışan bir 'demo modu' bayrağı eklenir.</t>
        </is>
      </c>
    </row>
  </sheetData>
  <autoFilter ref="A3:E15"/>
  <mergeCells count="2">
    <mergeCell ref="A2:E2"/>
    <mergeCell ref="A1:E1"/>
  </mergeCells>
  <conditionalFormatting sqref="B4:B15">
    <cfRule type="cellIs" priority="1" operator="equal" dxfId="0">
      <formula>"Yüksek"</formula>
    </cfRule>
    <cfRule type="cellIs" priority="2" operator="equal" dxfId="1">
      <formula>"Orta"</formula>
    </cfRule>
    <cfRule type="cellIs" priority="3" operator="equal" dxfId="2">
      <formula>"Düşük"</formula>
    </cfRule>
  </conditionalFormatting>
  <conditionalFormatting sqref="C4:C15">
    <cfRule type="cellIs" priority="4" operator="equal" dxfId="0">
      <formula>"Yüksek"</formula>
    </cfRule>
    <cfRule type="cellIs" priority="5" operator="equal" dxfId="1">
      <formula>"Orta"</formula>
    </cfRule>
    <cfRule type="cellIs" priority="6" operator="equal" dxfId="2">
      <formula>"Düşük"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2026-08-03T09:02:43Z</dcterms:created>
  <dcterms:modified xsi:type="dcterms:W3CDTF">2026-08-03T09:02:43Z</dcterms:modified>
</cp:coreProperties>
</file>