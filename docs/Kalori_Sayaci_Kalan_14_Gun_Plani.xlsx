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kin\Desktop\FDN\kalori\docs\"/>
    </mc:Choice>
  </mc:AlternateContent>
  <xr:revisionPtr revIDLastSave="0" documentId="13_ncr:1_{15BFF644-F1E8-4E82-824F-F85C1CCD946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Ozet Dashboard" sheetId="1" r:id="rId1"/>
    <sheet name="Sprint Plani" sheetId="2" r:id="rId2"/>
    <sheet name="Ekran Haritasi" sheetId="3" r:id="rId3"/>
    <sheet name="DB ve Backend Degisiklikleri" sheetId="4" r:id="rId4"/>
    <sheet name="Maliyet Analizi" sheetId="5" r:id="rId5"/>
    <sheet name="Risk Yonetimi" sheetId="6" r:id="rId6"/>
    <sheet name="V2-V3 Backlog" sheetId="7" r:id="rId7"/>
  </sheets>
  <definedNames>
    <definedName name="_xlnm._FilterDatabase" localSheetId="3" hidden="1">'DB ve Backend Degisiklikleri'!$A$3:$G$32</definedName>
    <definedName name="_xlnm._FilterDatabase" localSheetId="5" hidden="1">'Risk Yonetimi'!$A$3:$E$15</definedName>
    <definedName name="_xlnm._FilterDatabase" localSheetId="1" hidden="1">'Sprint Plani'!$A$3:$K$64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5" l="1"/>
  <c r="E17" i="5"/>
  <c r="C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I65" i="2"/>
  <c r="H65" i="2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D25" i="1"/>
  <c r="C25" i="1"/>
  <c r="B25" i="1"/>
  <c r="D24" i="1"/>
  <c r="E24" i="1" s="1"/>
  <c r="C24" i="1"/>
  <c r="B24" i="1"/>
  <c r="B26" i="1" s="1"/>
  <c r="D23" i="1"/>
  <c r="E23" i="1" s="1"/>
  <c r="C23" i="1"/>
  <c r="C26" i="1" s="1"/>
  <c r="B23" i="1"/>
  <c r="E25" i="1" l="1"/>
  <c r="D26" i="1"/>
  <c r="E2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 v3</author>
  </authors>
  <commentList>
    <comment ref="H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Sureler tek gelistirici, gunde 9 saat varsayimiyla. Backend ve veri katmani bitmis kabul edildi; sureler agirlikla Flutter ve yeni AI uclarina ayrildi.</t>
        </r>
      </text>
    </comment>
  </commentList>
</comments>
</file>

<file path=xl/sharedStrings.xml><?xml version="1.0" encoding="utf-8"?>
<sst xmlns="http://schemas.openxmlformats.org/spreadsheetml/2006/main" count="1296" uniqueCount="725">
  <si>
    <t>OZET DASHBOARD  |  Kalan 14 Is Gunu</t>
  </si>
  <si>
    <t>Tum degerler 'Sprint Plani' sayfasindan formullerle hesaplanir. Bu sayfaya elle deger girmeyin.</t>
  </si>
  <si>
    <t>PROJE KUNYESI</t>
  </si>
  <si>
    <t>Proje</t>
  </si>
  <si>
    <t>Kalori Sayacı + Akıllı Öneri Asistanı (Android)</t>
  </si>
  <si>
    <t>Kalan süre</t>
  </si>
  <si>
    <t>14 iş günü × 9 saat = 126 saat (Gün 7 → Gün 20)</t>
  </si>
  <si>
    <t>Alt bar</t>
  </si>
  <si>
    <t>Sohbet · Keşfet (swipe) · Kalori · Kiler</t>
  </si>
  <si>
    <t>Alışveriş listesi</t>
  </si>
  <si>
    <t>Sekme değil — Kiler sekmesi altında alt ekran</t>
  </si>
  <si>
    <t>Mobil</t>
  </si>
  <si>
    <t>Flutter + Dart + Material 3 + Riverpod + go_router + flutter_card_swiper</t>
  </si>
  <si>
    <t>Backend</t>
  </si>
  <si>
    <t>Python / FastAPI (hazır) + yeni AI uçları</t>
  </si>
  <si>
    <t>İlişkisel DB</t>
  </si>
  <si>
    <t>SQLite — 22 tablo (revize: pantry_items, recipe_feedback, +swipe_sessions, +vision_requests)</t>
  </si>
  <si>
    <t>Doküman DB</t>
  </si>
  <si>
    <t>MongoDB Atlas M0 — recipes koleksiyonu (100+ tarif)</t>
  </si>
  <si>
    <t>Görme modeli</t>
  </si>
  <si>
    <t>Çok kipli (multimodal) LLM — fotoğraftan malzeme ve öğün tanıma</t>
  </si>
  <si>
    <t>Sohbet</t>
  </si>
  <si>
    <t>Groq / LLaMA 3 + RAG (kiler + profil + filtrelenmiş tarifler)</t>
  </si>
  <si>
    <t>Barkod</t>
  </si>
  <si>
    <t>Google ML Kit (mobile_scanner) — cihaz üstü, ücretsiz</t>
  </si>
  <si>
    <t>Dış veri</t>
  </si>
  <si>
    <t>Open Food Facts (barkod + besin değeri)</t>
  </si>
  <si>
    <t>Kiler kuralı</t>
  </si>
  <si>
    <t>Elle metin girişi YOK. Barkod + fotoğraf ile dolar. 7 gün 'var', sonra 'bilinmiyor'</t>
  </si>
  <si>
    <t>Hedef platform</t>
  </si>
  <si>
    <t>Yalnızca Android (.apk) — geliştirme ortamı Windows</t>
  </si>
  <si>
    <t>Kapsam dışı</t>
  </si>
  <si>
    <t>Fiş OCR, özel obje tanıma modeli eğitimi, iOS sürümü, gıda israfı raporu</t>
  </si>
  <si>
    <t>HAFTALIK EFOR DAGILIMI</t>
  </si>
  <si>
    <t>Hafta</t>
  </si>
  <si>
    <t>Görev Sayısı</t>
  </si>
  <si>
    <t>Toplam Saat</t>
  </si>
  <si>
    <t>Tamamlanan Saat</t>
  </si>
  <si>
    <t>İlerleme %</t>
  </si>
  <si>
    <t>Odak</t>
  </si>
  <si>
    <t>Hafta 2</t>
  </si>
  <si>
    <t>Gün 7-10 · Yeni veri modeli, görme modeli servisi, kiler ağırlıklı skorlama, chatbot RAG, Flutter iskelet</t>
  </si>
  <si>
    <t>Hafta 3</t>
  </si>
  <si>
    <t>Gün 11-15 · Auth+onboarding, SWIPE destesi, sohbet+fotoğraf, kalori (foto/manuel/barkod), kiler+barkod</t>
  </si>
  <si>
    <t>Hafta 4</t>
  </si>
  <si>
    <t>Gün 16-20 · Tarif detay yeşil/kırmızı/gri, öğrenen profil, 7 gün güven süresi, sadeleştirme, test, teslim</t>
  </si>
  <si>
    <t>TOPLAM</t>
  </si>
  <si>
    <t>Kapasite 126 saat (14 gün × 9 saat)</t>
  </si>
  <si>
    <t>GUNLUK DAGILIM</t>
  </si>
  <si>
    <t>Gün</t>
  </si>
  <si>
    <t>Görev</t>
  </si>
  <si>
    <t>Saat</t>
  </si>
  <si>
    <t>Gün 7</t>
  </si>
  <si>
    <t>Backend: yeni kiler modeli, swipe geri bildirim modeli, görme servisi, fotoğraftan malzeme</t>
  </si>
  <si>
    <t>Gün 8</t>
  </si>
  <si>
    <t>Backend: malzeme eşleştirme, kiler ağırlıklı skorlama, swipe destesi, fotoğraftan öğün</t>
  </si>
  <si>
    <t>Gün 9</t>
  </si>
  <si>
    <t>Backend: chatbot RAG, sohbette fotoğraf, öğün kaydı, barkod → kiler</t>
  </si>
  <si>
    <t>Gün 10</t>
  </si>
  <si>
    <t>Flutter: proje kurulumu, tasarım sistemi, 4 sekmeli navigasyon, dio+Riverpod, modeller</t>
  </si>
  <si>
    <t>Gün 11</t>
  </si>
  <si>
    <t>Auth, onboarding anketi, kalori hedefi, yönlendirme kapıları</t>
  </si>
  <si>
    <t>Gün 12</t>
  </si>
  <si>
    <t>SWIPE: kart bileşeni, kaydırma etiketleri, deste yönetimi, 'malzemem yok' akışı</t>
  </si>
  <si>
    <t>Gün 13</t>
  </si>
  <si>
    <t>SOHBET: arayüz, hazır çipler, fotoğraf ekleme, malzeme onay ekranı</t>
  </si>
  <si>
    <t>Gün 14</t>
  </si>
  <si>
    <t>KALORİ: ana ekran, fotoğrafla öğün, arama/barkod, görsel porsiyon</t>
  </si>
  <si>
    <t>Gün 15</t>
  </si>
  <si>
    <t>KİLER: var/bilinmiyor ekranı, barkod tarayıcı, ürün onayı, alışveriş listesi</t>
  </si>
  <si>
    <t>Gün 16</t>
  </si>
  <si>
    <t>Tarif detay (yeşil/kırmızı/gri), porsiyon ölçekleme, 'yaptım' akışı, öğrenen profil</t>
  </si>
  <si>
    <t>Gün 17</t>
  </si>
  <si>
    <t>7 günlük güven süresi, sadeleştirme, boş/hata durumları, undo, erişilebilirlik</t>
  </si>
  <si>
    <t>Gün 18</t>
  </si>
  <si>
    <t>Testler: birim, görme doğruluğu, uçtan uca senaryolar, performans</t>
  </si>
  <si>
    <t>Gün 19</t>
  </si>
  <si>
    <t>KVKK, hata ayıklama, backend deploy, APK, gerçek cihaz doğrulaması</t>
  </si>
  <si>
    <t>Gün 20</t>
  </si>
  <si>
    <t>Diyagramlar, README, demo videosu, sunum, tampon</t>
  </si>
  <si>
    <t>KAPSAM DEGISIKLIGI OZETI</t>
  </si>
  <si>
    <t>1) ALT BAR 4 SEKME: Sohbet · Kesfet (swipe) · Kalori · Kiler. Alisveris listesi sekme degil, Kiler altinda alt ekran.</t>
  </si>
  <si>
    <t>2) KILER ARTIK ELLE DOLDURULMUYOR. Yalnizca iki kaynaktan dolar: (a) barkod okutma, (b) sohbete atilan mutfak fotografi. Kullanicidan metin girisi istenmiyor.</t>
  </si>
  <si>
    <t>3) 7 GUNLUK GUVEN SURESI: Her kiler kaydi eklendiginde 7 gun boyunca 'var' sayilir. Sure dolunca otomatik 'bilinmiyor'a duser. Oneri motoru 'var' malzemeleri 1.0, 'bilinmiyor' olanlari 0.4 agirlikla puanlar. Kullanici [Var] derse sure yenilenir, [Bitti] derse kayit kapanir.</t>
  </si>
  <si>
    <t>4) GORME MODELI: Ozel obje tanima modeli egitmek (YOLO vb.) KAPSAM DISI. Yerine cok kipli LLM API'si kullaniliyor - egitim yok, tek API cagrisi. Iki kullanim: mutfak fotografi -&gt; malzeme listesi, tabak fotografi -&gt; yemek + porsiyon tahmini (catal/bicak olcek referansi).</t>
  </si>
  <si>
    <t>5) SWIPE ANA KESIF YOLU: Sol = istemiyorum (ardindan istege bagli neden cipleri: sevmedim / cok uzun / malzemem yok), Sag = yapacagim, Yukari = sonra bakarim. Dort kosegen yerine uc yon + cip: yanlis jest riski dusuk, sinyal ayni.</t>
  </si>
  <si>
    <t>6) CHATBOT KORUNDU: 'Hafif, mercimekli, 30 dakikada yapabilecegim bir sey' gibi serbest istekler icin. Fotograf da eklenebiliyor.</t>
  </si>
  <si>
    <t>7) KESILEN: Fis OCR (V3), ozel model egitimi (V3), kritik esik otomasyonu, SKT takibi, pantry_events olay gunlugu, gida israfi raporu (V2), iOS surumu (V2).</t>
  </si>
  <si>
    <t>KALORI SAYACI  |  KALAN 14 IS GUNU PLANI  (Gun 7 - Gun 20)</t>
  </si>
  <si>
    <t>Kapsam: 4 sekme (Sohbet · Kesfet/Swipe · Kalori · Kiler)  ||  Gorme modeli ile fotograftan malzeme ve ogun cikarma  ||  Kiler yalnizca BARKOD ve FOTOGRAF ile dolar, elle metin girisi yok; kayitlar 7 gun 'var', sonra 'bilinmiyor'  ||  Yigin: Flutter (Dart) + FastAPI + SQLite + MongoDB + cok kipli gorme modeli + Groq/LLaMA + Open Food Facts + Google ML Kit  ||  14 is gunu x 9 saat = 126 saat kapasite</t>
  </si>
  <si>
    <t>Görev Kodu</t>
  </si>
  <si>
    <t>Modül</t>
  </si>
  <si>
    <t>Atomik Görev Adı</t>
  </si>
  <si>
    <t>Nasıl Yapılacak / Kullanılacak Teknolojiler</t>
  </si>
  <si>
    <t>Kabul Kriteri (Definition of Done)</t>
  </si>
  <si>
    <t>Tahmini Süre (Saat)</t>
  </si>
  <si>
    <t>Öncelik</t>
  </si>
  <si>
    <t>Bağımlılık</t>
  </si>
  <si>
    <t>Durum</t>
  </si>
  <si>
    <t>W2-T01</t>
  </si>
  <si>
    <t>Backend / DB</t>
  </si>
  <si>
    <t>Kiler Veri Modelinin Yeniden Tasarlanması</t>
  </si>
  <si>
    <t>pantry_items tablosu 'elle girilen envanter'den 'bildigimiz seyler' listesine cevrilir. Yeni alanlar: availability (var/bilinmiyor), source (barkod/foto/tarif), confirmed_at, confidence_expires_at (confirmed_at + 7 gun), detected_confidence (gorme modelinin guven skoru). Kaldirilan/pasiflestirilen: min_threshold_base (esik mantigi kapsam disi). Alembic ile migration uretilir (render_as_batch=True).</t>
  </si>
  <si>
    <t>alembic upgrade head hatasiz; yeni alanlar tabloda; eski kayitlar availability='bilinmiyor' olarak gecirilmis.</t>
  </si>
  <si>
    <t>Kritik</t>
  </si>
  <si>
    <t>-</t>
  </si>
  <si>
    <t>Yapılacak</t>
  </si>
  <si>
    <t>W2-T02</t>
  </si>
  <si>
    <t>Swipe Geri Bildirim Modeli</t>
  </si>
  <si>
    <t>recipe_feedback tablosu genisletilir: action enum (gordu / begenmedim / yapacagim / kaydetti / yaptim), reason enum (sevmedim / cok_uzun / malzeme_yok / null), missing_ingredient_id (FK -&gt; ingredients), session_id (FK -&gt; swipe_sessions). Yeni tablo: swipe_sessions (id, user_id, started_at, ended_at, filters_json). Indeks: (user_id, recipe_id), (session_id).</t>
  </si>
  <si>
    <t>Migration uygulanmis; ayni tarife farkli oturumlarda farkli geri bildirim yazilabiliyor.</t>
  </si>
  <si>
    <t>W2-T03</t>
  </si>
  <si>
    <t>Backend / AI</t>
  </si>
  <si>
    <t>Görme Modeli Servis Katmanı (Soyutlama)</t>
  </si>
  <si>
    <t>services/vision_service.py: cok kipli (multimodal) gorme modeline baglanan soyut arayuz. VisionProvider arayuzu + GroqVisionProvider / OpenAIVisionProvider uygulamalari; saglayici .env'den secilir. Goruntu base64'e cevrilir, timeout 20 sn, 429/500 icin exponential backoff, token/maliyet logu. Ayrica FakeVisionProvider (sabit yanit) yazilir - internetsiz gelistirme ve test icin.</t>
  </si>
  <si>
    <t>Ornek bir fotografa 5 sn altinda JSON yanit donuyor; saglayici .env ile degistirilebiliyor; sahte saglayici testte calisiyor.</t>
  </si>
  <si>
    <t>W2-T04</t>
  </si>
  <si>
    <t>Fotoğraftan Malzeme Çıkarma Ucu</t>
  </si>
  <si>
    <t>POST /api/v1/vision/ingredients (multipart foto). Sistem promptu: 'Bu fotograftaki YENILEBILIR malzemeleri listele, JSON dizi dondur, emin olmadiklarini dusuk confidence ile isaretle.' Donen ham adlar ingredients + ingredient_aliases tablolariyla eslestirilir (W1-T12'deki normalize_text ile). Eslesmeyenler unmatched_ingredients'a yazilir. Yanit: [{raw_name, canonical_name|null, display_name, confidence}].</t>
  </si>
  <si>
    <t>Bir buzdolabi fotografi gonderildiginde en az 5 malzeme donuyor; eslesenler canonical_name tasiyor, eslesmeyenler null.</t>
  </si>
  <si>
    <t>W2-T05</t>
  </si>
  <si>
    <t>Backend / Algoritma</t>
  </si>
  <si>
    <t>Malzeme Eşleştirme ve Bulanık Arama</t>
  </si>
  <si>
    <t>Uc asamali eslestirme: (1) ingredients.canonical_name tam eslesme, (2) ingredient_aliases.alias tam eslesme, (3) rapidfuzz token_set_ratio ile %85 uzeri bulanik eslesme. Saf fonksiyon, pytest ile 20+ vaka. Hem gorme modeli ciktisi hem chatbot metni bu fonksiyondan gecer.</t>
  </si>
  <si>
    <t>Test setinde eslestirme dogrulugu %90 uzeri; 'domates', 'Domates', 'salkim domates' ayni kanonik ada dusuyor.</t>
  </si>
  <si>
    <t>W2-T06</t>
  </si>
  <si>
    <t>Kiler Ağırlıklı Tarif Skorlama</t>
  </si>
  <si>
    <t>MongoDB aggregation: $setIntersection ile kiler-tarif kesisimi. AGIRLIK FARKI: availability='var' malzemeler 1.0, 'bilinmiyor' malzemeler 0.4 puan alir. final_score = 0.50*kiler_skoru + 0.20*kalori_uygunlugu + 0.20*zevk_vektoru + 0.10*sure_uygunlugu. Diyet ($in) ve alerjen ($nin) filtreleri zorunlu. Skor kirilimi yanitta doner (aciklanabilirlik).</t>
  </si>
  <si>
    <t>Kilerinde taze domates olan kullaniciya domatesli tarifler belirgin sekilde ust siralarda doniyor; alerjenli tarif hicbir kosulda donmuyor.</t>
  </si>
  <si>
    <t>W2-T07</t>
  </si>
  <si>
    <t>Swipe Destesi Ucu ve Oturum Filtreleme</t>
  </si>
  <si>
    <t>GET /api/v1/recipes/deck?session_id=&amp;limit=10. Filtreleme kurallari: (a) bu oturumda gorulen tarifler tekrar gelmez, (b) 'sevmedim' denenler KALICI olarak elenir, (c) 'cok_uzun' denince o oturumda sure esigi 30 dk'ya duser, (d) 'malzeme_yok' denenler 7 gun elenir. POST /api/v1/recipes/{id}/swipe ile geri bildirim yazilir.</t>
  </si>
  <si>
    <t>10 kartlik deste doniyor; ayni oturumda ikinci istekte tekrar eden tarif yok; 'sevmedim' denen tarif bir daha hic donmuyor.</t>
  </si>
  <si>
    <t>W2-T08</t>
  </si>
  <si>
    <t>Fotoğraftan Öğün ve Kalori Tahmini Ucu</t>
  </si>
  <si>
    <t>POST /api/v1/vision/meal (multipart foto). Prompt: 'Tabaktaki yemegi tani. Yanindaki catal/bicak varsa OLCEK REFERANSI olarak kullanip porsiyon buyuklugunu tahmin et.' Yanit: {yemek_adi, tahmini_porsiyon (kucuk/orta/buyuk), tahmini_gram, guven}. Tahmin ingredients/products tablosuyla eslestirilip kalori hesaplanir. ONEMLI: yanit 'tahmin' olarak isaretlenir, kullanici onayi zorunludur.</t>
  </si>
  <si>
    <t>Bir yemek fotografi gonderildiginde yemek adi + porsiyon + kalori tahmini doniyor; guven skoru yanitta yer aliyor.</t>
  </si>
  <si>
    <t>W2-T09</t>
  </si>
  <si>
    <t>Chatbot RAG Mimarisi</t>
  </si>
  <si>
    <t>POST /api/v1/chat. Akis: (1) kullanici mesajindan niyet ve kisitlar cikarilir (hafif / mercimekli / 30 dk alti gibi), (2) SQLite'tan kiler + profil + diyet/alerjen + kalan kalori cekilir, (3) W2-T06/T07 filtreleriyle en iyi 5-8 tarif alinir, (4) kompakt JSON olarak prompt baglamina gomulur, (5) LLM yanit + onerilen_tarif_idleri dondurur. Cikti sozlesmesi: {mesaj, onerilen_tarif_idleri[], uygulanan_filtreler[]}.</t>
  </si>
  <si>
    <t>'Hafif, mercimekli, 30 dakikada yapabilecegim bir sey' istegine bagalamdaki tariflerden gecerli JSON doniyor; uydurma tarif yok.</t>
  </si>
  <si>
    <t>W2-T10</t>
  </si>
  <si>
    <t>Chatbot Fotoğraf Desteği ve Kiler Yazımı</t>
  </si>
  <si>
    <t>Sohbet mesajina foto eklenebilir: POST /api/v1/chat (multipart). Foto once W2-T04'ten gecer, cikan malzemeler ONAY BEKLER (dogrudan kilere yazilmaz). Onay ucunda: POST /api/v1/pantry/confirm-detected -&gt; secilen malzemeler pantry_items'a availability='var', source='foto', confidence_expires_at=simdi+7gun ile yazilir. chat_messages tablosuna image_url ve detected_ingredients alanlari eklenir.</t>
  </si>
  <si>
    <t>Fotograf gonderilince malzeme listesi doniyor; onaylanan malzemeler kilere 7 gunluk 'var' olarak yaziliyor.</t>
  </si>
  <si>
    <t>W2-T11</t>
  </si>
  <si>
    <t>Backend / Kalori</t>
  </si>
  <si>
    <t>Öğün Kaydı API'leri</t>
  </si>
  <si>
    <t>POST /api/v1/meals (ogun tipi, kaynak: manuel/foto/barkod, urun/tarif referansi, porsiyon), GET /api/v1/meals/daily?date= (gunluk toplam kcal + makro kirilimi), DELETE /api/v1/meals/{id}. ANLIK GORUNTU ILKESI: item_name, calories ve makrolar kayit aninda kopyalanir. logged_date istemciden gelir (kullanicinin yerel gunu).</t>
  </si>
  <si>
    <t>Ayni gune 3 ogun eklendiginde gunluk ozet dogru toplami ve makro kirilimini donuyor.</t>
  </si>
  <si>
    <t>W2-T12</t>
  </si>
  <si>
    <t>Backend / Barkod</t>
  </si>
  <si>
    <t>Barkod → Ürün → Kiler Ucu</t>
  </si>
  <si>
    <t>POST /api/v1/pantry/scan {barcode}. Once products onbellegine, yoksa Open Food Facts API'sine (httpx, 5 sn timeout, 2 retry) bakilir. Urun ingredients sozlugu ile eslestirilir. Sonuc onay ekranina doner; onaylaninca pantry_items'a availability='var', source='barkod' ile yazilir. Bulunamayan barkod icin manuel urun kaydi (source='user') fallback'i.</t>
  </si>
  <si>
    <t>Gercek bir market urunu barkodu ile urun adi + kalori doniyor ve kilere 'var' olarak yaziliyor.</t>
  </si>
  <si>
    <t>Yüksek</t>
  </si>
  <si>
    <t>W2-T13</t>
  </si>
  <si>
    <t>Mobil / Kurulum</t>
  </si>
  <si>
    <t>Flutter Projesi ve Katmanlı Mimari</t>
  </si>
  <si>
    <t>flutter create --org com.ekin --platforms=android,web. lib/ altinda core (config, theme, network, storage), models, services, providers, screens, widgets, router. pubspec: flutter_riverpod, dio, go_router, flutter_secure_storage, mobile_scanner, image_picker, cached_network_image, percent_indicator, shimmer, flutter_card_swiper, intl, permission_handler, freezed, json_serializable. android minSdk = 24.</t>
  </si>
  <si>
    <t>flutter run emulatorde calisiyor; flutter analyze temiz; minSdk 24.</t>
  </si>
  <si>
    <t>W2-T14</t>
  </si>
  <si>
    <t>Mobil / Tasarım</t>
  </si>
  <si>
    <t>Tasarım Sistemi ve Ortak Widget'lar</t>
  </si>
  <si>
    <t>app_theme.dart: ColorScheme.fromSeed(#2E7D32) + Material 3. Semantik renkler tema uzantisi olarak: var #2E7D32, yok #C62828, bilinmiyor #9E9E9E, uyari #F9A825. Ortak widget'lar: AppButton, AppCard, StatusChip (renk+ikon+yazi ucusu), EmptyState, LoadingSkeleton (shimmer), UndoSnackBar. Buton yuksekligi 56dp, dokunma alani min 48dp (erisilebilirlik).</t>
  </si>
  <si>
    <t>Demo ekraninda tum widget'lar render ediliyor; renkler tek yerden yonetiliyor.</t>
  </si>
  <si>
    <t>W2-T15</t>
  </si>
  <si>
    <t>Mobil / Navigasyon</t>
  </si>
  <si>
    <t>4 Sekmeli Navigasyon (go_router)</t>
  </si>
  <si>
    <t>go_router StatefulShellRoute.indexedStack ile 4 sekme: SOHBET, KESFET (swipe), KALORI, KILER. Her sekme kendi Navigator'ini tutar (durum korunur). Kabuk disi tam ekran rotalar: /tara (barkod), /tarif/:id, /alisveris, /profil, /onboarding, /giris. Derin baglanti (kalori://app/...) AndroidManifest'te acilir.</t>
  </si>
  <si>
    <t>4 sekme arasi gecis sorunsuz; alt ekrandan donunce sekme yigini korunuyor; derin baglanti calisiyor.</t>
  </si>
  <si>
    <t>W2-T16</t>
  </si>
  <si>
    <t>Mobil / Ağ</t>
  </si>
  <si>
    <t>API İstemcisi ve Durum Yönetimi</t>
  </si>
  <si>
    <t>dio instance (baseURL --dart-define'dan; emulator icin 10.0.2.2). Interceptor: Bearer token ekleme, 401'de refresh/logout, hata gövdesini {code,message} olarak ayristirma. Riverpod AsyncNotifier ile veri cekme; dosya yukleme icin MultipartFile yardimcisi (fotograf uclari icin sart).</t>
  </si>
  <si>
    <t>Mobilden /health ve /auth/me basarili; fotograf yukleme yardimcisi calisiyor.</t>
  </si>
  <si>
    <t>W2-T17</t>
  </si>
  <si>
    <t>Mobil / Model</t>
  </si>
  <si>
    <t>Veri Modelleri (freezed + json_serializable)</t>
  </si>
  <si>
    <t>Recipe, RecipeCard, PantryItem, MealLog, DailySummary, ChatMessage, DetectedIngredient, SwipeFeedback modelleri. freezed 3.x sozdizimi (abstract class X with _$X). dart run build_runner build ile uretim. Backend Pydantic semalariyla alan adlari birebir ayni tutulur.</t>
  </si>
  <si>
    <t>Tum modeller uretiliyor; ornek JSON'lar hatasiz ayristiriliyor.</t>
  </si>
  <si>
    <t>W3-T01</t>
  </si>
  <si>
    <t>Mobil / Auth</t>
  </si>
  <si>
    <t>Güvenli Token Saklama ve Oturum</t>
  </si>
  <si>
    <t>flutter_secure_storage ile access + refresh token (Android Keystore). Riverpod authProvider; acilista oturum restore (splash + auth gate). Token suresi dolunca sessiz yenileme.</t>
  </si>
  <si>
    <t>Uygulama kapatilip acildiginda oturum korunuyor; cikista token siliniyor.</t>
  </si>
  <si>
    <t>W3-T02</t>
  </si>
  <si>
    <t>Giriş ve Kayıt Ekranları</t>
  </si>
  <si>
    <t>Form + TextFormField + yerlesik dogrulayicilar. Sifre gucu gostergesi, goster/gizle, klavye davranisi. Hata mesajlari backend'in {code,message} formatindan okunur. Buyuk dokunma alanlari, tek birincil buton.</t>
  </si>
  <si>
    <t>Gecersiz veri icin anlasilir hata; basarili giriste yonlendirme calisiyor.</t>
  </si>
  <si>
    <t>W3-T03</t>
  </si>
  <si>
    <t>Mobil / Onboarding</t>
  </si>
  <si>
    <t>4 Adımlı Tanıma Anketi</t>
  </si>
  <si>
    <t>PageView: (1) dogum yili/cinsiyet/boy/kilo/aktivite, (2) hedef + hane buyuklugu, (3) diyet + alerjen cip secimi, (4) 'sevdigin 5 yemegi sec' gorsel grid. HER ADIMDA 'Atla' butonu var; atlayan varsayilanlarla devam eder (2000 kcal, diyet yok). Cevaplar user_profiles, user_diet_tags, user_allergens ve recipe_feedback(begendim) tablolarina yazilir.</t>
  </si>
  <si>
    <t>Anket tamamlaninca 4 tabloya kayit gidiyor; 'Atla' ile de akis tamamlanabiliyor; bir kez gosteriliyor.</t>
  </si>
  <si>
    <t>W3-T04</t>
  </si>
  <si>
    <t>Mobil / Kalori</t>
  </si>
  <si>
    <t>Kalori Hedefi Hesaplama Entegrasyonu</t>
  </si>
  <si>
    <t>Backend'deki Mifflin-St Jeor servisi (W1-T20) cagrilir; sonuc profile yazilir ve onboarding sonunda kullaniciya 'Gunluk hedefin: 2.050 kcal' olarak gosterilir. JARGON YASAGI: 'BMR', 'TDEE', 'makro' kelimeleri arayuzde gecmez.</t>
  </si>
  <si>
    <t>Onboarding sonunda hedef kalori gosteriliyor ve profilde saklaniyor.</t>
  </si>
  <si>
    <t>W3-T05</t>
  </si>
  <si>
    <t>Yönlendirme Kapıları (Auth + Onboarding Gate)</t>
  </si>
  <si>
    <t>go_router redirect: token yoksa /giris; token var ama onboarding_completed=false ise /onboarding; ikisi de tamamsa /kesfet (swipe ana ekran). Splash sirasinda oturum kontrolu.</t>
  </si>
  <si>
    <t>Token'siz kullanici korumali ekrana giremiyor; anket tamamlanmadan ana ekrana gecilemiyor.</t>
  </si>
  <si>
    <t>W3-T06</t>
  </si>
  <si>
    <t>Mobil / Swipe</t>
  </si>
  <si>
    <t>Swipe Kart Bileşeni</t>
  </si>
  <si>
    <t>flutter_card_swiper ile kart destesi. Kart icerigi: tarif fotografi, baslik, kalori/sure/zorluk rozetleri, 'Kilerinle %85 uyumlu' etiketi, diyet cipleri. Suruklerken kart doner (max 15 derece), arkadaki kart olceklenir. 60 fps hedefi; gorseller cached_network_image ile onbelleklenir.</t>
  </si>
  <si>
    <t>Kartlar akici suruklenıyor; 10 kartlik destede takilma yok.</t>
  </si>
  <si>
    <t>W3-T07</t>
  </si>
  <si>
    <t>Kaydırma Etiketleri ve Geri Bildirim Çipleri</t>
  </si>
  <si>
    <t>Suruklerken kartin uzerinde buyuk renkli etiket belirir: SOL -&gt; kirmizi 'ISTEMIYORUM', SAG -&gt; yesil 'YAPACAGIM', YUKARI -&gt; mavi 'SONRA'. Sola kaydirdiktan sonra alttan 3 sn boyunca cip satiri belirir: [Sevmedim] [Cok uzun] [Malzemem yok] - dokunmak ZORUNLU DEGIL, dokunulmazsa genel 'hayir' kaydedilir. Her aksiyon POST /recipes/{id}/swipe ile yazilir.</t>
  </si>
  <si>
    <t>Uc yonun etiketi de suruklerken goruluyor; cip secimi backend'e reason olarak gidiyor; dokunmayinca da kayit olusuyor.</t>
  </si>
  <si>
    <t>W3-T08</t>
  </si>
  <si>
    <t>Deste Yönetimi ve Boş Durum</t>
  </si>
  <si>
    <t>Deste 3 karta dustugunde arka planda yeni 10 kart onyuklenir (kesintisiz akis). Oturum kimligi uygulama acilisinda uretilir. Deste bitince bos durum: buyuk gorsel + 'Bugunluk bu kadar! Kilerine bir seyler ekle ya da yarin tekrar bak' + iki buton (Fotograf cek / Barkod okut).</t>
  </si>
  <si>
    <t>Kaydirma sirasinda bekleme yasanmiyor; deste bitince anlamli bos durum cikiyor.</t>
  </si>
  <si>
    <t>W3-T09</t>
  </si>
  <si>
    <t>'Malzemem Yok' Akışı</t>
  </si>
  <si>
    <t>[Malzemem yok] cipine dokununca alt sayfa acilir: tarifin kilerde OLMAYAN malzemeleri listelenir, kullanici birini/birkacini secer. Secilenler alisveris listesine (source='tarif') eklenir ve o malzemeyi iceren tarifler 7 gun boyunca destede alta duser.</t>
  </si>
  <si>
    <t>Eksik malzeme secilince alisveris listesinde goruluyor; ayni malzemeli tarifler o oturumda geri plana dusuyor.</t>
  </si>
  <si>
    <t>W3-T10</t>
  </si>
  <si>
    <t>Mobil / Sohbet</t>
  </si>
  <si>
    <t>Sohbet Arayüzü</t>
  </si>
  <si>
    <t>Mesaj baloncuklari (kullanici sag/yesil, asistan sol/beyaz), otomatik kaydirma, 'yaziyor...' gostergesi, hata ve yeniden deneme. Asistan yaniti icinde onerilen tarifler MINI KART olarak render edilir (fotograf + baslik + kalori/sure), dokununca tarif detayina derin baglanti.</t>
  </si>
  <si>
    <t>Soru gonderilip yanit geliyor; onerilen tarif kartina dokununca detay aciliyor.</t>
  </si>
  <si>
    <t>W3-T11</t>
  </si>
  <si>
    <t>Hazır Soru Çipleri ve Serbest Metin</t>
  </si>
  <si>
    <t>Sohbet acilisinda hazir cipler: 'Hafif bir sey oner', 'Kilerimde ne var?', '30 dakikada ne yaparim?', 'Mercimekli bir sey'. Cipe dokunmak mesaji gonderir (klavye acilmaz - KLAVYESIZ YOL ILKESI). Alt giris cubugunda serbest metin + kamera ikonu + gonder butonu.</t>
  </si>
  <si>
    <t>Cipe dokununca klavye acilmadan mesaj gidiyor; serbest metin de calisiyor.</t>
  </si>
  <si>
    <t>W3-T12</t>
  </si>
  <si>
    <t>Fotoğraf Ekleme Akışı</t>
  </si>
  <si>
    <t>image_picker ile kamera/galeri secimi. Cekim rehberi: 'Malzemeleri tezgaha yay, ustten cek' gorseli. Secilen foto sikistirilir (max 1600px, %80 kalite - yukleme suresi ve API maliyeti icin), MultipartFile ile /chat ucuna gonderilir. Yukleme sirasinda ilerleme gostergesi.</t>
  </si>
  <si>
    <t>Fotograf cekilip gonderiliyor; 3 MB'lik foto 500 KB altina inip yukleniyor.</t>
  </si>
  <si>
    <t>W3-T13</t>
  </si>
  <si>
    <t>Malzeme Onay Ekranı</t>
  </si>
  <si>
    <t>Gorme modeli sonucu alt sayfada listelenir: her malzeme icin isaretli kutu + ad + guven gostergesi (yuksek/dusuk). Dusuk guvenliler VARSAYILAN OLARAK ISARETSIZ gelir. '+ Malzeme ekle' ile arama yapip elle eklenebilir. 'Kilerime Ekle' butonu secilenleri 7 gunluk 'var' olarak yazar.</t>
  </si>
  <si>
    <t>Yanlis taninan malzeme isareti kaldirilabiliyor; onaylananlar kilerde 'var' rozetiyle goruluyor.</t>
  </si>
  <si>
    <t>W3-T14</t>
  </si>
  <si>
    <t>Kalori Ana Ekranı</t>
  </si>
  <si>
    <t>percent_indicator ile dairesel ilerleme halkasi (buyuk, sayi ikincil). Altinda protein/karbonhidrat/yag barlari (kucuk, ikincil). Tarih secici (dun/bugun). Ogun bazli gruplu liste (Kahvalti/Ogle/Aksam/Atistirma), her grubun basliginda + butonu. SUCLAMA YASAGI: hedef asilinca kirmizi alarm yok, notr bilgi.</t>
  </si>
  <si>
    <t>Ogun eklendiginde halka ve barlar aninda guncelleniyor; hedef asilinca suclayici uyari cikmiyor.</t>
  </si>
  <si>
    <t>W3-T15</t>
  </si>
  <si>
    <t>Fotoğrafla Öğün Ekleme</t>
  </si>
  <si>
    <t>Kamera ekraninda CEKIM REHBERI: yari saydam bir catal-bicak silueti ve 'Tabagin yanina catal veya bicak koy - porsiyonu boylece daha dogru tahmin edebiliyoruz' metni. Cekilen foto /vision/meal ucuna gider. Donen tahmin DUZENLENEBILIR bir onay kartinda gosterilir: yemek adi (degistirilebilir), porsiyon (kucuk/orta/buyuk), kalori. 'Tahmindir, duzeltebilirsin' notu acikca yazilir.</t>
  </si>
  <si>
    <t>Yemek fotografindan tahmin geliyor; kullanici yemek adini ve porsiyonu degistirebiliyor; onaylayinca gunluge ekleniyor.</t>
  </si>
  <si>
    <t>W3-T16</t>
  </si>
  <si>
    <t>Arama ve Barkod ile Öğün Ekleme</t>
  </si>
  <si>
    <t>Ogun ekleme sayfasinda uc yol: [Fotograf] [Barkod] [Ara]. Arama Open Food Facts proxy'sinden besleniyor; sonuclar 100 g bazinda listeleniyor. 'Son eklenenler' ve 'Sik yedeklerim' kisayollari en ustte (ucuncu haftadan sonra kullanici hic arama yapmaz).</t>
  </si>
  <si>
    <t>Uc yol da calisiyor; sik yenenler kisayolu son 30 gunun en cok eklenen 6 kaydini gosteriyor.</t>
  </si>
  <si>
    <t>W3-T17</t>
  </si>
  <si>
    <t>Görsel Porsiyon Seçimi</t>
  </si>
  <si>
    <t>Gram sormak yerine gorsel secim: kucuk/orta/buyuk kase-tabak ikonlari ve yaninda avuc ici karsilastirmasi. Secim arka planda grama cevrilir (kucuk=0.7x, orta=1x, buyuk=1.4x referans porsiyon). 'Gram gireyim' secenegi ikincil bir baglanti olarak durur.</t>
  </si>
  <si>
    <t>Kullanici hic gram gormeden ogun ekleyebiliyor; gram girmek isteyen de girebiliyor.</t>
  </si>
  <si>
    <t>Orta</t>
  </si>
  <si>
    <t>W3-T18</t>
  </si>
  <si>
    <t>Mobil / Kiler</t>
  </si>
  <si>
    <t>Kiler Ekranı (Var / Bilinmiyor)</t>
  </si>
  <si>
    <t>Iki bolumlu liste: 'Kesin var' (availability='var', yesil rozet, kalan gun sayisi: '5 gun sonra soracagiz') ve 'Emin degiliz' (availability='bilinmiyor', gri rozet, yanlarinda [Var] / [Bitti] hizli butonlari). Kaynak rozeti: barkod / fotograf. ELLE METIN GIRISI YOK - ust barda sadece iki buton: [Fotograf Cek] [Barkod Okut].</t>
  </si>
  <si>
    <t>Iki bolum de dogru dolduruluyor; 'Emin degiliz' bolumundeki bir urune [Var] denince 7 gunluk sure yenileniyor.</t>
  </si>
  <si>
    <t>W3-T19</t>
  </si>
  <si>
    <t>Mobil / Barkod</t>
  </si>
  <si>
    <t>Barkod Tarayıcı (ML Kit)</t>
  </si>
  <si>
    <t>mobile_scanner ile cihaz uzerinde barkod okuma (EAN-13, EAN-8, UPC-A). Kamera izni akisi (permission_handler), reddedilirse 'Ayarlara git' yonlendirmesi. Tarama cercevesi overlay'i, titresim geri bildirimi, ayni barkodun tekrar okunmasini engelleyen debounce. W1-T13'teki BarcodeScanner soyutlamasi korunur (FakeBarcodeScanner ile cihazsiz gelistirme).</t>
  </si>
  <si>
    <t>Emulator + webcam ile gercek barkod 1 sn altinda okunuyor; izin reddedilince kullanici yonlendiriliyor.</t>
  </si>
  <si>
    <t>W3-T20</t>
  </si>
  <si>
    <t>Barkod → Ürün Onay → Kilere Ekleme</t>
  </si>
  <si>
    <t>Okunan barkod /pantry/scan ucuna gider. Onay karti: urun fotografi, ad, marka, 100 g besin degerleri, kaynak ('Open Food Facts'). Miktar/birim duzenlenebilir. Onaylaninca kilere availability='var', source='barkod' ile yazilir. Bulunamayan barkodda manuel urun formu acilir.</t>
  </si>
  <si>
    <t>Barkod okut -&gt; onayla -&gt; kiler listesinde 'Kesin var' bolumunde goruluyor.</t>
  </si>
  <si>
    <t>W3-T21</t>
  </si>
  <si>
    <t>Mobil / Alışveriş</t>
  </si>
  <si>
    <t>Alışveriş Listesi Alt Ekranı</t>
  </si>
  <si>
    <t>Kiler sekmesinin ust barindan acilan alt ekran (sekme DEGIL). Kategoriye gore gruplu, checkbox'li liste. Kaynak rozeti: tarif / manuel. 'Isaretlenenleri Kilere Aktar' butonu isaretli urunleri availability='var' olarak kilere yazar ve listeden siler. Metin olarak paylasma (Share).</t>
  </si>
  <si>
    <t>Tariften dusen eksik malzemeler listede goruluyor; isaretlenenler kilere aktarilinca listeden dusuyor.</t>
  </si>
  <si>
    <t>W4-T01</t>
  </si>
  <si>
    <t>Mobil / Tarif</t>
  </si>
  <si>
    <t>Tarif Detay Ekranı (Yeşil / Kırmızı / Gri)</t>
  </si>
  <si>
    <t>GET /recipes/{id}/ingredient-status sonucu renklerle gosterilir: kilerde 'var' -&gt; YESIL + tik ikonu + 'var' yazisi, kilerde yok -&gt; KIRMIZI + carpi + 'yok', sozlukte tanimsiz -&gt; GRI + soru isareti + 'bilinmiyor'. ERISILEBILIRLIK: renk TEK BASINA kullanilmaz, ikon ve yazi da eslik eder. Ustte kucuk bir aciklama (legend). 'bilinmiyor' durumundaki kiler malzemeleri SARI ile ayrica isaretlenir.</t>
  </si>
  <si>
    <t>Dort durum da gercek veriyle dogrulandi; renk koru kullanici da ayirt edebiliyor.</t>
  </si>
  <si>
    <t>W4-T02</t>
  </si>
  <si>
    <t>Porsiyon Ölçekleme</t>
  </si>
  <si>
    <t>Stepper ile 1-10 kisi (varsayilan user_profiles.household_size). scale = secilen/recipe.servings; malzeme miktarlari ve kalori anlik yeniden hesaplanir. Ondaliklar okunabilir yuvarlanir (0.5 su bardagi).</t>
  </si>
  <si>
    <t>4 kisilik secildiginde tum miktarlar ve kalori dogru katlaniyor.</t>
  </si>
  <si>
    <t>W4-T03</t>
  </si>
  <si>
    <t>'Bu Tarifi Yaptım' Akışı</t>
  </si>
  <si>
    <t>POST /recipes/{id}/cook: (1) secilen porsiyon kadar kalori meal_logs'a yazilir, (2) kullanilan malzemeler kilerden DUSULUR (availability='var' olanlar 'bilinmiyor'a cekilir - tam miktar takibi yapmiyoruz, sadece guven duser), (3) recipe_feedback'e action='yaptim' yazilir. Onay diyalogu yerine islem yapilir + 5 sn 'Geri al' cubugu.</t>
  </si>
  <si>
    <t>'Yaptim' denince hem kalori ekleniyor hem kiler guveni dusuyor; geri al calisiyor.</t>
  </si>
  <si>
    <t>W4-T04</t>
  </si>
  <si>
    <t>Öğrenen Profil Geri Besleme Döngüsü</t>
  </si>
  <si>
    <t>recipe_feedback olaylari user_taste_weights tablosunu ustel hareketli ortalama ile gunceller. Boyutlar: cuisine, diet_tag, ingredient, difficulty, sure_araligi. 'sevmedim' -&gt; negatif agirlik, 'yapacagim'/'yaptim' -&gt; pozitif, 'cok_uzun' -&gt; sure boyutunda negatif. KURAL: ogrenilen tercih, beyan edilen diyet/alerjen kisitini ASLA ezemez.</t>
  </si>
  <si>
    <t>10 swipe sonrasi oneri sirasi olculebilir sekilde degisiyor; alerjen filtresi hic etkilenmiyor.</t>
  </si>
  <si>
    <t>W4-T05</t>
  </si>
  <si>
    <t>Backend / Kiler</t>
  </si>
  <si>
    <t>7 Günlük Güven Süresi Mekanizması</t>
  </si>
  <si>
    <t>confidence_expires_at gecmis olan pantry_items kayitlari otomatik availability='bilinmiyor' olur. Iki katman: (a) sorgu aninda hesaplanan alan (her zaman dogru), (b) gunluk temizlik gorevi (APScheduler veya basit bir /admin/expire-confidence ucu). Kullanici [Var] derse confirmed_at yenilenir, [Bitti] derse kayit pasiflestirilir.</t>
  </si>
  <si>
    <t>7 gunden eski kayitlar 'Emin degiliz' bolumune dusuyor; [Var] denince sure yenileniyor.</t>
  </si>
  <si>
    <t>W4-T06</t>
  </si>
  <si>
    <t>Mobil / UX</t>
  </si>
  <si>
    <t>Ana Ekran Sadeleştirme</t>
  </si>
  <si>
    <t>KESFET sekmesi acilis ekrani olur. Ust kisimda tek bir buyuk soru: 'Bugun ne yesen?' ve altinda swipe destesi. Ikincil eylemler kucuk ikon butonlar olarak ust barda. HER EKRANDA TEK BIRINCIL EYLEM ilkesi butun ekranlarda gozden gecirilir; ikinci yesil buton varsa kaldirilir.</t>
  </si>
  <si>
    <t>Her ekranda tek bir dolu yesil buton var; kullanici 'simdi ne yapmaliyim' diye durakalmiyor.</t>
  </si>
  <si>
    <t>W4-T07</t>
  </si>
  <si>
    <t>Boş Durum, Yükleniyor ve Hata Ekranları</t>
  </si>
  <si>
    <t>Tum listelerde shimmer iskelet yukleyici. Bos durumlarda buyuk gorsel + tek eylem butonu (asla bos beyaz ekran yok). Hata ekranlarinda 'Yeniden dene' butonu ve anlasilir metin (teknik hata kodu gosterilmez). connectivity_plus ile ag kontrolu.</t>
  </si>
  <si>
    <t>Internet kapaliyken hicbir ekran bos kalmiyor; her bos durumda ne yapilacagi yaziyor.</t>
  </si>
  <si>
    <t>W4-T08</t>
  </si>
  <si>
    <t>Geri Alma (Undo) ve Onay Diyaloglarının Kaldırılması</t>
  </si>
  <si>
    <t>Silme/degistirme islemlerinde onay diyalogu YERINE islem hemen yapilir ve 5 sn 'Geri al' SnackBar'i gosterilir. Yalnizca geri donusu olmayan islemlerde (hesap silme) onay diyalogu kalir. Ortak UndoController yazilir.</t>
  </si>
  <si>
    <t>Kiler silme, ogun silme ve swipe geri almada undo calisiyor; gereksiz onay diyalogu kalmadi.</t>
  </si>
  <si>
    <t>W4-T09</t>
  </si>
  <si>
    <t>Mobil / Erişilebilirlik</t>
  </si>
  <si>
    <t>Erişilebilirlik ve Okunabilirlik Geçişi</t>
  </si>
  <si>
    <t>Tum dokunma alanlari min 48x48dp. Metin olceklendirmesi (textScaleFactor 1.3'e kadar bozulmamali). Renk kontrasti WCAG AA. Semantics etiketleri (ekran okuyucu). Jargon taramasi: 'BMR', 'TDEE', 'makro', 'canonical', 'endpoint' kelimeleri arayuzde aranir ve temizlenir.</t>
  </si>
  <si>
    <t>Yazi boyutu %130'a cikarildiginda hicbir ekran bozulmuyor; jargon taramasi temiz.</t>
  </si>
  <si>
    <t>W4-T10</t>
  </si>
  <si>
    <t>Test</t>
  </si>
  <si>
    <t>Backend Birim Testleri (pytest)</t>
  </si>
  <si>
    <t>Kritik servisler: BMR/TDEE, birim donusumu, malzeme eslestirme (uc asama), kiler agirlikli skorlama, swipe oturum filtreleme, 7 gunluk guven suresi, gunluk kalori toplami. pytest fixtures + ayri test veritabani; coverage raporu.</t>
  </si>
  <si>
    <t>Kritik servislerde satir kapsami %60 uzeri; tum testler yesil.</t>
  </si>
  <si>
    <t>W4-T11</t>
  </si>
  <si>
    <t>Test / AI</t>
  </si>
  <si>
    <t>Görme Modeli Doğruluk Ölçümü</t>
  </si>
  <si>
    <t>20 fotograftan olusan test seti hazirlanir (10 mutfak/buzdolabi, 10 tabak). Her biri icin beklenen malzeme/yemek listesi elle yazilir. Betik calistirilip precision/recall olculur ve rapora yazilir. Dusuk cikan kategoriler icin prompt iyilestirilir.</t>
  </si>
  <si>
    <t>Malzeme tanima recall'u %70 uzeri; sonuclar docs/vision_accuracy.md dosyasinda.</t>
  </si>
  <si>
    <t>W4-T12</t>
  </si>
  <si>
    <t>Uçtan Uca Senaryo Testleri</t>
  </si>
  <si>
    <t>Dort ana senaryo cihazda bastan sona kosulur: (A) Kayit -&gt; onboarding -&gt; ilk swipe destesi, (B) Sohbete fotograf -&gt; malzeme onayi -&gt; kilere yazma -&gt; oneri degisimi, (C) Tabak fotografi -&gt; kalori tahmini -&gt; gunluge ekleme, (D) Barkod okut -&gt; kilere ekle -&gt; tarif detayinda yesil gorunme. Adimlar ekran kaydiyla belgelenir.</t>
  </si>
  <si>
    <t>Dort senaryo da hatasiz tamamlandi ve kayit alindi.</t>
  </si>
  <si>
    <t>W4-T13</t>
  </si>
  <si>
    <t>Performans</t>
  </si>
  <si>
    <t>API Performans ve İndeksleme</t>
  </si>
  <si>
    <t>Yavas sorgular loglanir. SQLite index (user_id+ingredient_id, availability, canonical_name), MongoDB compound index (diet_tags + calories_per_serving). Gorsel yukleme boyutu ve gorme modeli yanit suresi olculur. N+1 sorgular joinedload ile giderilir.</t>
  </si>
  <si>
    <t>Deste ucu p95 &lt; 800 ms; gorme modeli ucu p95 &lt; 6 sn.</t>
  </si>
  <si>
    <t>W4-T14</t>
  </si>
  <si>
    <t>Güvenlik / KVKK</t>
  </si>
  <si>
    <t>Veri Dışa Aktarma ve Hesap Silme</t>
  </si>
  <si>
    <t>GET /api/v1/me/export: tum kullanici verisi tek JSON (profil, tercihler, kiler, ogunler, swipe gecmisi, sohbetler, fotograf kayitlari). DELETE /api/v1/me: sifre teyidi + CASCADE ile kalici silme. Yuklenen fotograflarin saklanma politikasi belirlenir (islendikten sonra silinmesi onerilir - depolama ve KVKK yuku azalir).</t>
  </si>
  <si>
    <t>Export tum tablolari iceriyor; silme sonrasi ilgili user_id ile hicbir tabloda kayit kalmiyor.</t>
  </si>
  <si>
    <t>W4-T15</t>
  </si>
  <si>
    <t>Kalite</t>
  </si>
  <si>
    <t>Hata Ayıklama ve Dayanıklılık</t>
  </si>
  <si>
    <t>Tum async cagrilarda try/catch, Flutter ErrorWidget.builder + runZonedGuarded, backend global exception handler. Gorme modeli veya LLM coktugunde uygulama COKMEZ: kural tabanli oneriye duser ve kullaniciya notr mesaj gosterir. Bulunan hatalar onceliklendirilip kapatilir.</t>
  </si>
  <si>
    <t>Kritik/major seviyede acik hata yok; API'ler kapaliyken bile uygulama kullanilabilir kaliyor.</t>
  </si>
  <si>
    <t>W4-T16</t>
  </si>
  <si>
    <t>Dağıtım</t>
  </si>
  <si>
    <t>Backend Buluta Yayınlama</t>
  </si>
  <si>
    <t>Render veya Railway ucretsiz katmaninda backend deploy. Ortam degiskenleri panelden girilir (.env yuklenmez). MongoDB Atlas IP erisimi guncellenir. Saglik kontrolu ucu izleme icin baglanir. Mobil uygulama --dart-define ile uzak adrese yonlendirilir.</t>
  </si>
  <si>
    <t>Uzak sunucudaki /health iki veritabani icin de ok donuyor; mobil uygulama uzak backend'e baglaniyor.</t>
  </si>
  <si>
    <t>W4-T17</t>
  </si>
  <si>
    <t>Android Sürüm Derlemesi (APK)</t>
  </si>
  <si>
    <t>flutter build apk --release ile imzali APK. Uygulama ikonu (flutter_launcher_icons), splash screen, surum adi/kodu. NOT: iOS kapsam disi - gelistirme ortami Windows, macOS + Xcode gerekiyor.</t>
  </si>
  <si>
    <t>Imzali .apk gercek cihaza kurulup calisiyor ve uzak backend'e baglaniyor.</t>
  </si>
  <si>
    <t>W4-T18</t>
  </si>
  <si>
    <t>Gerçek Cihaz Doğrulaması</t>
  </si>
  <si>
    <t>Odunc alinan bir Android telefonda dort senaryo tekrar kosulur. Ozellikle kamera akislari (barkod, mutfak fotografi, tabak fotografi) gercek kamerayla dogrulanir - emulator webcam'i ile gercek cihaz arasinda fark olabilir.</t>
  </si>
  <si>
    <t>Uc kamera akisi da gercek cihazda calisiyor; ekran kaydi alindi.</t>
  </si>
  <si>
    <t>W4-T19</t>
  </si>
  <si>
    <t>Dokümantasyon</t>
  </si>
  <si>
    <t>Mimari ve Veri Akış Diyagramları</t>
  </si>
  <si>
    <t>Mermaid.js ile: (1) sistem mimarisi (Flutter &lt;-&gt; FastAPI &lt;-&gt; SQLite/MongoDB &lt;-&gt; Gorme Modeli/LLM/Open Food Facts), (2) dort senaryonun veri akisi, (3) ER diyagrami (guncel semayla), (4) swipe geri bildirim -&gt; ogrenme dongusu semasi.</t>
  </si>
  <si>
    <t>Dort diyagram da repoda ve sunumda kullanilabilir cozunurlukte.</t>
  </si>
  <si>
    <t>W4-T20</t>
  </si>
  <si>
    <t>README ve API Dokümantasyonu</t>
  </si>
  <si>
    <t>README: proje tanitimi, ekran goruntuleri, kurulum (backend + Flutter), .env ornegi, teknoloji yigini, mimari diyagram, yol haritasi. OpenAPI semasi JSON export. docs/decisions.md (ADR) guncellenir: kapsam revizyonu, gorme modeli tercihi, 7 gunluk guven suresi karari.</t>
  </si>
  <si>
    <t>Projeyi hic bilmeyen biri yalnizca README ile ayaga kaldirabiliyor.</t>
  </si>
  <si>
    <t>W4-T21</t>
  </si>
  <si>
    <t>Sunum</t>
  </si>
  <si>
    <t>Demo Videosu</t>
  </si>
  <si>
    <t>5-7 dakikalik demo: (A) kayit + onboarding, (B) swipe ile oneri ve ogrenme, (C) sohbete mutfak fotografi -&gt; malzeme onayi -&gt; onerilerin degismesi, (D) tabak fotografi ile kalori ekleme, (E) barkod ile kilere ekleme. Internet/API bagimliliklarina karsi onceden kaydedilir.</t>
  </si>
  <si>
    <t>Video teslim edildi ve sunumda oynatilabiliyor.</t>
  </si>
  <si>
    <t>W4-T22</t>
  </si>
  <si>
    <t>Sunum Slaytları ve Staj Defteri</t>
  </si>
  <si>
    <t>10-12 slayt: problem, rakip analizi, kapsam revizyonu ve gerekcesi, mimari, teknoloji secimleri, canli demo, olculen metrikler (gorme dogrulugu, oneri isabeti, yanit sureleri), ogrenilenler, yol haritasi. Staj defterinin doldurulmasi.</t>
  </si>
  <si>
    <t>Sunum teslim edildi; juri sorularina hazir.</t>
  </si>
  <si>
    <t>W4-T23</t>
  </si>
  <si>
    <t>Tampon</t>
  </si>
  <si>
    <t>Tampon Süre / Kritik Hata Payı</t>
  </si>
  <si>
    <t>Beklenmedik native build hatalari, API kotasi, cihaz uyumsuzlugu icin ayrilan pay. Kullanilmazsa V2 backlog'undan bir madde cekilir (oncelik: gida israfi raporu).</t>
  </si>
  <si>
    <t>Plan sapmasi yasanmadan teslim tamamlandi.</t>
  </si>
  <si>
    <t>KAPASITE: 14 is gunu x 9 saat = 126 saat. Plan toplami 126 saat - tam oturuyor, tampon W4-T23 (1 saat) icinde.</t>
  </si>
  <si>
    <t>BASLANGIC VARSAYIMI: Backend ve veri katmani BITMIS kabul edilir (eski plandaki W1-T01 ... W1-T12): 22 tablo, JWT auth, Alembic, 100+ tarif (MongoDB), 170 malzeme + 533 alias (SQLite), birim donusum servisi, 43 birim testi. Flutter tarafi SIFIRDAN baslar.</t>
  </si>
  <si>
    <t>KAPSAM DEGISIKLIGI: (1) Alt bar 4 sekme: Sohbet, Kesfet (swipe), Kalori, Kiler - alisveris listesi Kiler altinda alt ekran. (2) Kiler ELLE DOLDURULMAZ; yalnizca barkod okutma ve fotograf tanima ile dolar. (3) Her kiler kaydi 7 gun 'var', sonra otomatik 'bilinmiyor'; oneri motoru ikisini farkli agirlikla puanlar. (4) Fis OCR ve gorsel obje tanima icin ozel model egitimi KAPSAM DISI - yerine cok kipli gorme modeli API'si kullanilir.</t>
  </si>
  <si>
    <t>ELLE DOLDURULACAK TEK ALAN: K sutunu (Durum). Acilir listeden secim yapin.</t>
  </si>
  <si>
    <t>EKRAN HARITASI  |  Yapilacak Tum Arayuzler</t>
  </si>
  <si>
    <t>Alt bar 4 sekme; digerleri alt ekran veya tam ekran rota. UI maket prompt'lari bu listeye gore uretildi.</t>
  </si>
  <si>
    <t>#</t>
  </si>
  <si>
    <t>Ekran</t>
  </si>
  <si>
    <t>Konum</t>
  </si>
  <si>
    <t>İçerik</t>
  </si>
  <si>
    <t>Temel Etkileşim</t>
  </si>
  <si>
    <t>Açılış (Splash)</t>
  </si>
  <si>
    <t>Tam ekran</t>
  </si>
  <si>
    <t>Logo, uygulama adı, oturum kontrolü</t>
  </si>
  <si>
    <t>Otomatik yönlendirme</t>
  </si>
  <si>
    <t>Giriş</t>
  </si>
  <si>
    <t>E-posta + şifre, şifre göster/gizle</t>
  </si>
  <si>
    <t>Giriş Yap → ana ekran</t>
  </si>
  <si>
    <t>Kayıt</t>
  </si>
  <si>
    <t>Ad, e-posta, şifre + güç göstergesi, KVKK onayı</t>
  </si>
  <si>
    <t>Kayıt Ol → onboarding</t>
  </si>
  <si>
    <t>Onboarding 1/4</t>
  </si>
  <si>
    <t>Doğum yılı, cinsiyet, boy, kilo, aktivite</t>
  </si>
  <si>
    <t>Devam / Atla</t>
  </si>
  <si>
    <t>Onboarding 2/4</t>
  </si>
  <si>
    <t>Hedef kartları (ver/koru/al) + hane büyüklüğü</t>
  </si>
  <si>
    <t>Onboarding 3/4</t>
  </si>
  <si>
    <t>Diyet çipleri + alerjen çipleri (kırmızı stil)</t>
  </si>
  <si>
    <t>Onboarding 4/4</t>
  </si>
  <si>
    <t>'Sevdiğin 5 yemeği seç' görsel grid</t>
  </si>
  <si>
    <t>Bitir → hedef kalori gösterimi</t>
  </si>
  <si>
    <t>KEŞFET (Swipe)</t>
  </si>
  <si>
    <t>Sekme 2 — ana ekran</t>
  </si>
  <si>
    <t>Tarif kart destesi, uyum rozeti, kalori/süre</t>
  </si>
  <si>
    <t>Sol/Sağ/Yukarı kaydırma</t>
  </si>
  <si>
    <t>Swipe — neden çipleri</t>
  </si>
  <si>
    <t>Sekme 2 üstü</t>
  </si>
  <si>
    <t>Sola kaydırma sonrası 3 sn beliren çip satırı</t>
  </si>
  <si>
    <t>Sevmedim / Çok uzun / Malzemem yok</t>
  </si>
  <si>
    <t>Swipe — 'Malzemem yok'</t>
  </si>
  <si>
    <t>Alt sayfa</t>
  </si>
  <si>
    <t>Tarifin eksik malzeme listesi, çoklu seçim</t>
  </si>
  <si>
    <t>Seçilenler alışveriş listesine</t>
  </si>
  <si>
    <t>Swipe — deste bitti</t>
  </si>
  <si>
    <t>Sekme 2</t>
  </si>
  <si>
    <t>Boş durum görseli + iki eylem butonu</t>
  </si>
  <si>
    <t>Fotoğraf çek / Barkod okut</t>
  </si>
  <si>
    <t>SOHBET</t>
  </si>
  <si>
    <t>Sekme 1</t>
  </si>
  <si>
    <t>Mesaj baloncukları, mini tarif kartları</t>
  </si>
  <si>
    <t>Yaz / çip seç / fotoğraf ekle</t>
  </si>
  <si>
    <t>Sohbet — hazır çipler</t>
  </si>
  <si>
    <t>'Hafif bir şey öner', '30 dakikada ne yaparım?'</t>
  </si>
  <si>
    <t>Dokun → klavyesiz gönder</t>
  </si>
  <si>
    <t>Sohbet — fotoğraf çekimi</t>
  </si>
  <si>
    <t>Çekim rehberi: 'Malzemeleri tezgaha yay'</t>
  </si>
  <si>
    <t>Çek → yükle</t>
  </si>
  <si>
    <t>Malzeme onay ekranı</t>
  </si>
  <si>
    <t>Tanınan malzemeler + güven göstergesi</t>
  </si>
  <si>
    <t>İşaretle/kaldır → Kilerime Ekle</t>
  </si>
  <si>
    <t>KALORİ</t>
  </si>
  <si>
    <t>Sekme 3</t>
  </si>
  <si>
    <t>Halka, makro barları, öğün listesi</t>
  </si>
  <si>
    <t>Öğün ekle</t>
  </si>
  <si>
    <t>Öğün ekleme seçimi</t>
  </si>
  <si>
    <t>Üç yol: Fotoğraf / Barkod / Ara</t>
  </si>
  <si>
    <t>Yol seçimi</t>
  </si>
  <si>
    <t>Tabak fotoğrafı çekimi</t>
  </si>
  <si>
    <t>Çatal-bıçak silueti + ölçek açıklaması</t>
  </si>
  <si>
    <t>Çek → tahmin</t>
  </si>
  <si>
    <t>Öğün tahmini onayı</t>
  </si>
  <si>
    <t>Yemek adı, porsiyon, kalori — düzenlenebilir</t>
  </si>
  <si>
    <t>Düzelt → Ekle</t>
  </si>
  <si>
    <t>Gıda arama</t>
  </si>
  <si>
    <t>Arama + son eklenenler + sık yenenler</t>
  </si>
  <si>
    <t>Seç → porsiyon</t>
  </si>
  <si>
    <t>Görsel porsiyon seçimi</t>
  </si>
  <si>
    <t>Küçük/orta/büyük görselleri, avuç karşılaştırması</t>
  </si>
  <si>
    <t>Seç → ekle</t>
  </si>
  <si>
    <t>KİLER</t>
  </si>
  <si>
    <t>Sekme 4</t>
  </si>
  <si>
    <t>'Kesin var' ve 'Emin değiliz' iki bölüm</t>
  </si>
  <si>
    <t>Fotoğraf / Barkod / [Var] [Bitti]</t>
  </si>
  <si>
    <t>Barkod tarayıcı</t>
  </si>
  <si>
    <t>Kamera + tarama çerçevesi</t>
  </si>
  <si>
    <t>Okut → onay</t>
  </si>
  <si>
    <t>Barkod ürün onayı</t>
  </si>
  <si>
    <t>Ürün fotoğrafı, ad, besin değerleri</t>
  </si>
  <si>
    <t>Kilere Ekle</t>
  </si>
  <si>
    <t>Alt ekran</t>
  </si>
  <si>
    <t>Kategoriye göre gruplu checkbox listesi</t>
  </si>
  <si>
    <t>İşaretlenenleri Kilere Aktar</t>
  </si>
  <si>
    <t>Tarif detay</t>
  </si>
  <si>
    <t>Yeşil/kırmızı/gri malzemeler, adımlar, porsiyon</t>
  </si>
  <si>
    <t>Bu Tarifi Yaptım</t>
  </si>
  <si>
    <t>'Yaptım' onayı</t>
  </si>
  <si>
    <t>Diyalog</t>
  </si>
  <si>
    <t>Kalori eklenecek + kiler güveni düşecek özeti</t>
  </si>
  <si>
    <t>Onayla (+ geri al)</t>
  </si>
  <si>
    <t>Profil</t>
  </si>
  <si>
    <t>Hedefler, tercihler, KVKK (veri indir / hesap sil)</t>
  </si>
  <si>
    <t>Ayar değiştir</t>
  </si>
  <si>
    <t>KAPSAM REVIZYONUNUN VERITABANI VE BACKEND ETKISI</t>
  </si>
  <si>
    <t>Mevcut 22 tablolu semanin uzerine yapilacak degisiklikler. Her satir bir Alembic migration veya yeni uc anlamina gelir.</t>
  </si>
  <si>
    <t>Tür</t>
  </si>
  <si>
    <t>Tablo / Modül</t>
  </si>
  <si>
    <t>Alan / Uç</t>
  </si>
  <si>
    <t>İşlem</t>
  </si>
  <si>
    <t>Açıklama ve Gerekçe</t>
  </si>
  <si>
    <t>Şema</t>
  </si>
  <si>
    <t>pantry_items</t>
  </si>
  <si>
    <t>availability</t>
  </si>
  <si>
    <t>EKLE</t>
  </si>
  <si>
    <t>TEXT CHECK ('var','bilinmiyor','bitti'). Kilerin yeni anlami: envanter degil, 'bildigimiz seyler'. Oneri skorlamasinda 'var'=1.0, 'bilinmiyor'=0.4 agirlik.</t>
  </si>
  <si>
    <t>source</t>
  </si>
  <si>
    <t>TEXT CHECK ('barkod','foto','tarif','sistem'). Kaydin nereden geldigi. Elle giris ARTIK YOK, bu yuzden 'manuel' degeri yok.</t>
  </si>
  <si>
    <t>confirmed_at</t>
  </si>
  <si>
    <t>DATETIME. Kullanicinin son 'bu bende var' onayi. Barkod/foto ile eklendiginde otomatik doldurulur.</t>
  </si>
  <si>
    <t>confidence_expires_at</t>
  </si>
  <si>
    <t>DATETIME = confirmed_at + 7 gun. Bu tarihten sonra availability otomatik 'bilinmiyor' olur.</t>
  </si>
  <si>
    <t>detected_confidence</t>
  </si>
  <si>
    <t>REAL 0-1. Gorme modelinin bu malzemeye verdigi guven skoru. Dusuk olanlar onay ekraninda varsayilan olarak ISARETSIZ gelir.</t>
  </si>
  <si>
    <t>min_threshold_base</t>
  </si>
  <si>
    <t>KALDIR</t>
  </si>
  <si>
    <t>Kritik esik mantigi kapsam disi birakildi (alisveris listesi otomasyonu kesildi). Sutun migration'da dusurulur.</t>
  </si>
  <si>
    <t>expiry_date, opened_at</t>
  </si>
  <si>
    <t>SKT takibi kapsam disi. Kullanicidan tarih girmesini istemek 'en basit uygulama' hedefiyle celisiyor.</t>
  </si>
  <si>
    <t>(user_id, ingredient_id)</t>
  </si>
  <si>
    <t>DEGISTIR</t>
  </si>
  <si>
    <t>UNIQUE kisiti korunur ama upsert mantigi degisir: ayni malzeme tekrar tespit edilirse yeni satir acilmaz, confirmed_at yenilenir.</t>
  </si>
  <si>
    <t>recipe_feedback</t>
  </si>
  <si>
    <t>action</t>
  </si>
  <si>
    <t>Enum genisletildi: gordu / begenmedim / yapacagim / kaydetti / yaptim. 'gordu' swipe destesinde gosterilen ama aksiyon alinmayan kartlar icin.</t>
  </si>
  <si>
    <t>reason</t>
  </si>
  <si>
    <t>TEXT CHECK ('sevmedim','cok_uzun','malzeme_yok') veya NULL. Swipe sonrasi cip secimi. NULL = kullanici sebep belirtmedi (zorunlu degil).</t>
  </si>
  <si>
    <t>missing_ingredient_id</t>
  </si>
  <si>
    <t>INTEGER FK -&gt; ingredients. reason='malzeme_yok' oldugunda hangi malzemenin eksik oldugu. Alisveris listesini besler.</t>
  </si>
  <si>
    <t>session_id</t>
  </si>
  <si>
    <t>INTEGER FK -&gt; swipe_sessions. Ayni tarif farkli oturumlarda farkli tepki alabilir; oturum ici tekrar engellemek icin gerekli.</t>
  </si>
  <si>
    <t>Tablo</t>
  </si>
  <si>
    <t>swipe_sessions</t>
  </si>
  <si>
    <t>(yeni tablo)</t>
  </si>
  <si>
    <t>id, user_id FK, started_at, ended_at, filters_json (o oturumda uygulanan sure/diyet filtreleri), shown_count. Oturum ici 'gorulen tekrar gelmez' kurali bu tabloya dayanir.</t>
  </si>
  <si>
    <t>vision_requests</t>
  </si>
  <si>
    <t>id, user_id FK, request_type ('malzeme'/'ogun'), image_hash, raw_response TEXT, matched_count, unmatched_count, latency_ms, model, created_at. Maliyet takibi ve W4-T11 dogruluk olcumu icin. Fotografin KENDISI saklanmaz (KVKK + depolama).</t>
  </si>
  <si>
    <t>chat_messages</t>
  </si>
  <si>
    <t>image_url</t>
  </si>
  <si>
    <t>TEXT NULL. Sohbete eklenen fotografin gecici adresi (islendikten sonra silinir, alan izlenebilirlik icin kalir).</t>
  </si>
  <si>
    <t>detected_ingredients</t>
  </si>
  <si>
    <t>TEXT (JSON dizi). O mesajdaki fotograftan cikan malzemeler. Kullanici onaylamadan kilere yazilmaz.</t>
  </si>
  <si>
    <t>shopping_list_items</t>
  </si>
  <si>
    <t>Enum sadelesir: 'tarif' ve 'manuel'. 'esik' ve 'ongoru' degerleri kaldirilir (esik otomasyonu kapsam disi).</t>
  </si>
  <si>
    <t>Uç</t>
  </si>
  <si>
    <t>vision_service</t>
  </si>
  <si>
    <t>POST /vision/ingredients</t>
  </si>
  <si>
    <t>YENİ</t>
  </si>
  <si>
    <t>Multipart fotograf -&gt; cok kipli gorme modeli -&gt; ham malzeme listesi -&gt; ingredients/ingredient_aliases ile eslestirme -&gt; [{raw_name, canonical_name, display_name, confidence}].</t>
  </si>
  <si>
    <t>POST /vision/meal</t>
  </si>
  <si>
    <t>Multipart tabak fotografi -&gt; yemek adi + porsiyon (kucuk/orta/buyuk) + tahmini gram + kalori. Catal/bicak olcek referansi promptta istenir. Yanit 'tahmin' olarak isaretlenir.</t>
  </si>
  <si>
    <t>pantry</t>
  </si>
  <si>
    <t>POST /pantry/confirm-detected</t>
  </si>
  <si>
    <t>Onay ekranindan secilen malzemeleri kilere yazar: availability='var', source='foto', confirmed_at=simdi, confidence_expires_at=+7 gun.</t>
  </si>
  <si>
    <t>POST /pantry/scan</t>
  </si>
  <si>
    <t>Barkod -&gt; products onbellegi -&gt; yoksa Open Food Facts -&gt; onay -&gt; kilere 'var'/'barkod' olarak yazma.</t>
  </si>
  <si>
    <t>PATCH /pantry/{id}/confirm</t>
  </si>
  <si>
    <t>'Emin degiliz' listesindeki bir urun icin [Var] / [Bitti] hizli aksiyonu. [Var] -&gt; confirmed_at yenilenir; [Bitti] -&gt; availability='bitti'.</t>
  </si>
  <si>
    <t>recipes</t>
  </si>
  <si>
    <t>GET /recipes/deck</t>
  </si>
  <si>
    <t>Swipe destesi. session_id ile oturum ici tekrar engelleme, kalici 'sevmedim' elemesi, 'cok_uzun' sure filtresi, 'malzeme_yok' 7 gun elemesi.</t>
  </si>
  <si>
    <t>POST /recipes/{id}/swipe</t>
  </si>
  <si>
    <t>{action, reason, missing_ingredient_id, session_id} yazar; user_taste_weights guncellenir.</t>
  </si>
  <si>
    <t>chat</t>
  </si>
  <si>
    <t>POST /chat (multipart)</t>
  </si>
  <si>
    <t>Mevcut sohbet ucu fotograf kabul edecek sekilde genisletilir. Fotograf once /vision/ingredients akisindan gecer.</t>
  </si>
  <si>
    <t>GET /recipes (skorlama)</t>
  </si>
  <si>
    <t>Aggregation'da availability agirligi eklenir: 'var' 1.0, 'bilinmiyor' 0.4. Skor kirilimi yanitta doner.</t>
  </si>
  <si>
    <t>Servis</t>
  </si>
  <si>
    <t>confidence_job</t>
  </si>
  <si>
    <t>Gunluk temizlik</t>
  </si>
  <si>
    <t>confidence_expires_at gecmis kayitlari 'bilinmiyor'a ceker. Iki katman: sorgu aninda hesaplama (her zaman dogru) + gunluk toplu guncelleme.</t>
  </si>
  <si>
    <t>Config</t>
  </si>
  <si>
    <t>settings</t>
  </si>
  <si>
    <t>VISION_PROVIDER, VISION_MODEL, VISION_API_KEY</t>
  </si>
  <si>
    <t>Gorme modeli saglayicisi .env'den secilir. FakeVisionProvider testte kullanilir.</t>
  </si>
  <si>
    <t>PANTRY_CONFIDENCE_DAYS</t>
  </si>
  <si>
    <t>Varsayilan 7. Guven suresi sabit kodlanmaz, ayardan okunur (sunumda 'deneyip ayarlanabilir' demek icin).</t>
  </si>
  <si>
    <t>MALIYET ANALIZI  |  Gorme Modeli Dahil</t>
  </si>
  <si>
    <t>Yeni kalem: cok kipli gorme modeli. Fotograf basina maliyet dusuk ama kullanim sikligina bagli olarak buyuyebilir.</t>
  </si>
  <si>
    <t>Maliyet Kalemi</t>
  </si>
  <si>
    <t>Açıklama</t>
  </si>
  <si>
    <t>Optimize Edilmemiş Aylık ($)</t>
  </si>
  <si>
    <t>Ucuza Çözüm / Alternatif</t>
  </si>
  <si>
    <t>Optimize Aylık ($)</t>
  </si>
  <si>
    <t>Yıllık Tasarruf ($)</t>
  </si>
  <si>
    <t>Staj MVP'sinde Gerekli mi?</t>
  </si>
  <si>
    <t>Görme modeli (fotoğraf)</t>
  </si>
  <si>
    <t>Mutfak ve tabak fotoğraflarının analizi</t>
  </si>
  <si>
    <t>Görüntüyü 1600px'e küçült ve %80 kaliteye sıkıştır (token maliyeti düşer); aynı fotoğrafın hash'ini önbellekle; kullanıcı başına günlük limit</t>
  </si>
  <si>
    <t>Evet</t>
  </si>
  <si>
    <t>LLM / Chatbot API</t>
  </si>
  <si>
    <t>Sohbet asistanının token maliyeti</t>
  </si>
  <si>
    <t>Groq üzerinde LLaMA 3 + llm_cache yanıt önbelleği + günlük limit</t>
  </si>
  <si>
    <t>Sunucu / Backend</t>
  </si>
  <si>
    <t>FastAPI barındırma</t>
  </si>
  <si>
    <t>Render / Railway ücretsiz katmanı</t>
  </si>
  <si>
    <t>Yönetilen Veritabanı</t>
  </si>
  <si>
    <t>PostgreSQL / MongoDB barındırma</t>
  </si>
  <si>
    <t>MongoDB Atlas M0 (ücretsiz) + SQLite dosyası</t>
  </si>
  <si>
    <t>Barkod Tanıma</t>
  </si>
  <si>
    <t>Bulut görüntü işleme</t>
  </si>
  <si>
    <t>mobile_scanner (Google ML Kit) cihaz üzerinde — ücretsiz, offline</t>
  </si>
  <si>
    <t>Gıda / Barkod Veritabanı</t>
  </si>
  <si>
    <t>FatSecret / Nutritionix ücretli plan</t>
  </si>
  <si>
    <t>Open Food Facts (ODbL, ücretsiz)</t>
  </si>
  <si>
    <t>Fotoğraf depolama</t>
  </si>
  <si>
    <t>Yüklenen görsellerin saklanması</t>
  </si>
  <si>
    <t>SAKLAMA YOK: fotoğraf işlendikten sonra silinir. Yalnızca sonuç ve hash tutulur (KVKK + maliyet)</t>
  </si>
  <si>
    <t>Görsel CDN</t>
  </si>
  <si>
    <t>Tarif görselleri</t>
  </si>
  <si>
    <t>Unsplash/Pexels bağlantısı + cihazda cached_network_image</t>
  </si>
  <si>
    <t>Hata İzleme</t>
  </si>
  <si>
    <t>Sentry / APM</t>
  </si>
  <si>
    <t>Sentry ücretsiz katmanı</t>
  </si>
  <si>
    <t>Kısmen</t>
  </si>
  <si>
    <t>Push Bildirim</t>
  </si>
  <si>
    <t>Bildirim altyapısı</t>
  </si>
  <si>
    <t>flutter_local_notifications (cihazda, sunucu gerekmez)</t>
  </si>
  <si>
    <t>Hayır</t>
  </si>
  <si>
    <t>Alan Adı + SSL</t>
  </si>
  <si>
    <t>Backend adresi</t>
  </si>
  <si>
    <t>Cloudflare ücretsiz SSL</t>
  </si>
  <si>
    <t>Google Play Hesabı</t>
  </si>
  <si>
    <t>Tek seferlik 25 $</t>
  </si>
  <si>
    <t>Staj teslimi için gerekmez</t>
  </si>
  <si>
    <t>Hayır (V2)</t>
  </si>
  <si>
    <t>Apple Developer</t>
  </si>
  <si>
    <t>Yıllık 99 $</t>
  </si>
  <si>
    <t>iOS kapsam dışı — Windows'ta derlenemiyor</t>
  </si>
  <si>
    <t>Optimize kurulumda aylık gider ~8 $</t>
  </si>
  <si>
    <t>GORME MODELI MALIYETI: Fotograf basina yaklasik 0.001-0.004 $. Gunde 50 fotograf = ayda ~3-6 $. Sikistirma ve onbellekleme ile alt sinira yakin kalinir.</t>
  </si>
  <si>
    <t>MALIYET DUSURME: (1) Goruntuyu 1600px/%80 kaliteye sikistir - token maliyeti belirgin duser. (2) Ayni fotografin hash'ini onbellekle. (3) Kullanici basina gunluk fotograf limiti. (4) Barkod ve OCR cihaz uzerinde calisir, buluta gitmez. (5) Fotograflar SAKLANMAZ - islenip silinir.</t>
  </si>
  <si>
    <t>STAJ SURESINCE gercek maliyet: yalnizca sen ve birkac test kullanicisi kullanacagi icin pratikte 0-3 $ arasinda kalir.</t>
  </si>
  <si>
    <t>RISK YONETIMI  |  Kalan 14 Gun</t>
  </si>
  <si>
    <t>Kapsam revizyonu bazi riskleri kaldirdi, bazilarini ekledi. Olasilik/Etki: Dusuk / Orta / Yuksek.</t>
  </si>
  <si>
    <t>Risk</t>
  </si>
  <si>
    <t>Olasılık</t>
  </si>
  <si>
    <t>Etki</t>
  </si>
  <si>
    <t>Erken Uyarı Sinyali</t>
  </si>
  <si>
    <t>Önlem / B Planı</t>
  </si>
  <si>
    <t>Görme modeli doğruluğunun düşük olması</t>
  </si>
  <si>
    <t>Test setinde recall %60'ın altına düşerse.</t>
  </si>
  <si>
    <t>Onay ekranı ZORUNLU: kullanıcı yanlışı siler, eksiği ekler. Düşük güvenli malzemeler varsayılan işaretsiz gelir. Prompt iyileştirmesi (W4-T11). Son çare: fotoğraf akışı 'yardımcı' olarak konumlanır, tek yol olmaz — barkod ve arama hep açık kalır.</t>
  </si>
  <si>
    <t>Fotoğraftan porsiyon tahmininin yanıltıcı olması</t>
  </si>
  <si>
    <t>Tahminler sürekli 2 katı veya yarısı çıkıyorsa.</t>
  </si>
  <si>
    <t>Sonuç 'tahmin' olarak açıkça etiketlenir ve DÜZENLENEBİLİR sunulur. Çatal/bıçak ölçek referansı istenir. Sunumda 'ölçüm değil, başlangıç noktası' diye anlatılır — abartılı iddia güven kaybettirir.</t>
  </si>
  <si>
    <t>Flutter tarafının 10 günde yetişmemesi</t>
  </si>
  <si>
    <t>Gün 13 sonunda sohbet ve swipe ekranları bitmemişse.</t>
  </si>
  <si>
    <t>Öncelik sırası: Swipe &gt; Kalori &gt; Sohbet &gt; Kiler. Sıkışırsa sohbet arayüzü sadeleştirilir (mini kart yerine düz liste), görsel porsiyon seçimi (W3-T17) ve erişilebilirlik geçişi (W4-T09) feda edilir. Toplam 2.5 saat esnetme payı.</t>
  </si>
  <si>
    <t>Fiziksel Android test cihazı olmaması</t>
  </si>
  <si>
    <t>Kamera akışları emülatörde doğrulanamıyorsa.</t>
  </si>
  <si>
    <t>BarcodeScanner soyutlaması + FakeVisionProvider ile geliştirme cihazsız sürer. Emülatör Camera-&gt;Webcam0 ayarı gerçek barkod okutabiliyor. W4-T18'de bir günlüğüne ödünç cihaz alınır (öncelikle staj yerinden istenir).</t>
  </si>
  <si>
    <t>LLM veya görme API'sinin kotası/gecikmesi</t>
  </si>
  <si>
    <t>Yanıt süresi 8 saniyeyi geçiyor veya 429 dönüyorsa.</t>
  </si>
  <si>
    <t>Her iki servis de sağlayıcı arayüzü arkasında soyutlandı — tek satırla başka sağlayıcıya geçilir. API çökerse uygulama ÇÖKMEZ: kural tabanlı öneriye düşer. llm_cache tekrarlayan soruları API'ye hiç göndermez.</t>
  </si>
  <si>
    <t>7 günlük güven süresinin kullanıcıyı yanıltması</t>
  </si>
  <si>
    <t>Kullanıcı 'bende yok' dediği tarifleri sürekli görüyorsa.</t>
  </si>
  <si>
    <t>Süre sabit kodlanmaz, PANTRY_CONFIDENCE_DAYS ayarından okunur. 'Emin değiliz' bölümündeki [Var]/[Bitti] hızlı butonları kullanıcının tek dokunuşla düzeltmesini sağlar. Sunumda 'deneyle ayarlanabilir parametre' diye anlatılır.</t>
  </si>
  <si>
    <t>Swipe jestinin yanlış sinyal üretmesi</t>
  </si>
  <si>
    <t>Kullanıcılar yanlışlıkla sola kaydırıp sonra şikayet ediyorsa.</t>
  </si>
  <si>
    <t>Dört köşegen yerine üç yön (sol/sağ/yukarı) seçildi. Sürüklerken kartın üstünde büyük renkli etiket görünür — kullanıcı bırakmadan önce ne olacağını görür. Sola kaydırmada neden çipi ZORUNLU DEĞİL, dokunulmazsa genel 'hayır' kaydedilir.</t>
  </si>
  <si>
    <t>Fotoğraf yükleme süresinin uzun olması</t>
  </si>
  <si>
    <t>3G/zayıf bağlantıda yükleme 10 saniyeyi geçiyorsa.</t>
  </si>
  <si>
    <t>İstemci tarafında sıkıştırma (1600px, %80) — 3 MB'lik foto 500 KB altına iner. Yükleme sırasında ilerleme göstergesi ve iptal seçeneği.</t>
  </si>
  <si>
    <t>KVKK: fotoğraf ve sağlık verisi</t>
  </si>
  <si>
    <t>Sunum veya yayın öncesi veri politikası sorulduğunda.</t>
  </si>
  <si>
    <t>Fotoğraflar SAKLANMAZ — işlenip silinir, yalnızca sonuç ve hash tutulur. Onboarding'de aydınlatma metni ve rıza. W4-T14'te veri dışa aktarma ve kalıcı hesap silme uçları.</t>
  </si>
  <si>
    <t>Kapsam kayması (scope creep)</t>
  </si>
  <si>
    <t>Plan dışı bir özellik için 'sadece yarım gün sürer' denildiğinde.</t>
  </si>
  <si>
    <t>Bu revizyon zaten bir kapsam DARALTMASIDIR. Kesilen her şey (fiş OCR, israf raporu, eşik otomasyonu, SKT, iOS) yazılı olarak V2/V3'e alındı. Yeni fikir doğrudan backlog'a yazılır, sprinte alınmaz.</t>
  </si>
  <si>
    <t>Zaman tahminlerinin sapması</t>
  </si>
  <si>
    <t>Herhangi bir günün sonunda tamamlanan saat 7'nin altındaysa.</t>
  </si>
  <si>
    <t>Günlük 9 saat iddialı bir tempo. Esnetme payı: W3-T17 (1 saat), W4-T08 (1.5 saat), W4-T09 (1.5 saat), W4-T23 tampon (1 saat) = 5 saat. Bunlar kesilirse algoritma ve ana akışlar korunur.</t>
  </si>
  <si>
    <t>Emülatör sistem servisi çökmesi</t>
  </si>
  <si>
    <t>'Can't find service: package', 'Activity class does not exist' hataları.</t>
  </si>
  <si>
    <t>Emülatörü soğuk başlat: adb emu kill; adb kill-server; emulator -avd Pixel_7 -no-snapshot-load. Tekrarlarsa Wipe Data. mobile/README.md'de sorun giderme bölümü var.</t>
  </si>
  <si>
    <t>KAPSAM DISI  |  V2 ve V3 YOL HARITASI</t>
  </si>
  <si>
    <t>Bu revizyonla kesilen ve zaten ertelenmis olan maddeler, gerekceleriyle.</t>
  </si>
  <si>
    <t>Sürüm</t>
  </si>
  <si>
    <t>Özellik</t>
  </si>
  <si>
    <t>Neden Kapsam Dışı?</t>
  </si>
  <si>
    <t>Nasıl Yapılacak</t>
  </si>
  <si>
    <t>Süre</t>
  </si>
  <si>
    <t>V2</t>
  </si>
  <si>
    <t>Çok Yüksek</t>
  </si>
  <si>
    <t>Raporlama</t>
  </si>
  <si>
    <t>Gıda İsrafı ve Tasarruf Raporu</t>
  </si>
  <si>
    <t>Bu revizyonda kiler hareket günlüğü (pantry_events) kesildiği için veri kaynağı yok. Önce çekirdek döngünün tuttuğu doğrulanmalı.</t>
  </si>
  <si>
    <t>pantry_events tablosu geri eklenir; 'bitti' işaretlenen ve süresi dolan malzemelerden israf tahmini üretilir. 'Bu ay ~340 TL tasarruf ettin' kartı.</t>
  </si>
  <si>
    <t>1-2 hafta</t>
  </si>
  <si>
    <t>Kiler</t>
  </si>
  <si>
    <t>Tüketim Hızı ve Öngörülü Liste</t>
  </si>
  <si>
    <t>Anlamlı sonuç için en az 3 haftalık kullanım verisi gerekiyor.</t>
  </si>
  <si>
    <t>Barkod ve fotoğraf kayıtlarının sıklığından malzeme bazlı tüketim hızı çıkarılır; ürün bitmeden alışveriş listesine eklenir.</t>
  </si>
  <si>
    <t>1 hafta</t>
  </si>
  <si>
    <t>Kritik Eşik ve SKT Takibi</t>
  </si>
  <si>
    <t>Kullanıcıdan miktar ve tarih girmesini gerektiriyor — 'en basit uygulama' hedefiyle çelişiyor.</t>
  </si>
  <si>
    <t>İsteğe bağlı 'gelişmiş mod' olarak geri getirilir; varsayılan kapalı kalır.</t>
  </si>
  <si>
    <t>4-5 gün</t>
  </si>
  <si>
    <t>AI</t>
  </si>
  <si>
    <t>Haftalık Beslenme Özeti</t>
  </si>
  <si>
    <t>LLM altyapısı kurulu ama özet katmanı kapsamı şişirirdi.</t>
  </si>
  <si>
    <t>meal_logs + swipe geçmişi haftalık özetlenip LLM'e verilir: 'Bu hafta protein hedefinin %70'indesin, akşamları geç yiyorsun'.</t>
  </si>
  <si>
    <t>Kullanıcı</t>
  </si>
  <si>
    <t>Hane Paylaşımı (Ortak Kiler)</t>
  </si>
  <si>
    <t>Kiler gerçekte evsel bir kaynak; tek kullanıcılık model planı basitleştiriyor.</t>
  </si>
  <si>
    <t>households + household_members tabloları; pantry_items'a household_id. Tek migration, geriye dönük doldurma.</t>
  </si>
  <si>
    <t>Kalori</t>
  </si>
  <si>
    <t>Su Takibi ve Adım Entegrasyonu</t>
  </si>
  <si>
    <t>Kalori dengesinin ikinci yarısı; MVP'de alım tarafına odaklanıldı.</t>
  </si>
  <si>
    <t>Health Connect (Android) ile adım/yakılan kalori; su için basit sayaç.</t>
  </si>
  <si>
    <t>Altyapı</t>
  </si>
  <si>
    <t>Çevrimdışı Mod</t>
  </si>
  <si>
    <t>İnternet varsayımıyla ilerlemek geliştirme hızını iki katına çıkarıyor.</t>
  </si>
  <si>
    <t>drift/sqflite yerel kopya + değişiklik kuyruğu + çakışma çözümlemeli senkronizasyon.</t>
  </si>
  <si>
    <t>2 hafta</t>
  </si>
  <si>
    <t>Platform</t>
  </si>
  <si>
    <t>iOS Sürümü ve Mağaza Yayını</t>
  </si>
  <si>
    <t>Geliştirme ortamı Windows; iOS derlemesi macOS + Xcode gerektiriyor.</t>
  </si>
  <si>
    <t>Mac erişimi veya Codemagic bulut derlemesi; ardından mağaza süreçleri.</t>
  </si>
  <si>
    <t>V3</t>
  </si>
  <si>
    <t>OCR</t>
  </si>
  <si>
    <t>Fişten Ürün Okuma</t>
  </si>
  <si>
    <t>Veri temizleme + NLP süreci; tek başına 10 iş günü yutar.</t>
  </si>
  <si>
    <t>ML Kit Text Recognition + RegEx/LLM ayrıştırma. ingredient_aliases ve unmatched_ingredients altyapısı hazır bekliyor.</t>
  </si>
  <si>
    <t>3-4 hafta</t>
  </si>
  <si>
    <t>Düşük</t>
  </si>
  <si>
    <t>Görüntü İşleme</t>
  </si>
  <si>
    <t>Özel Obje Tanıma Modeli</t>
  </si>
  <si>
    <t>Çok kipli LLM API'si bu ihtiyacı zaten karşılıyor — model eğitmenin getirisi yok.</t>
  </si>
  <si>
    <t>Yalnızca maliyet veya çevrimdışı çalışma kritik hale gelirse: YOLOv8 + TensorFlow Lite.</t>
  </si>
  <si>
    <t>4-8 hafta</t>
  </si>
  <si>
    <t>Sosyal</t>
  </si>
  <si>
    <t>Tarif Paylaşımı</t>
  </si>
  <si>
    <t>Veri yükü ve moderasyon maliyeti; belirli bir kullanıcı kütlesinden sonra anlamlı.</t>
  </si>
  <si>
    <t>Kullanıcı tarifleri, beğeni/yorum, moderasyon kuyruğu.</t>
  </si>
  <si>
    <t>Tamamlandı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</si>
</sst>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\$#,##0.00;\(\$#,##0.00\);\-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44546A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i/>
      <sz val="9"/>
      <color rgb="FF7F7F7F"/>
      <name val="Arial"/>
    </font>
    <font>
      <b/>
      <sz val="11"/>
      <color rgb="FF1F3864"/>
      <name val="Arial"/>
    </font>
    <font>
      <sz val="9"/>
      <name val="Arial"/>
    </font>
    <font>
      <sz val="9"/>
      <color rgb="FF44546A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2E5C8A"/>
      </patternFill>
    </fill>
    <fill>
      <patternFill patternType="solid">
        <fgColor rgb="FFF2F6FA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7" fillId="0" borderId="0" xfId="0" applyFont="1"/>
    <xf numFmtId="0" fontId="5" fillId="0" borderId="1" xfId="0" applyFont="1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0" fillId="3" borderId="1" xfId="0" applyFill="1" applyBorder="1"/>
    <xf numFmtId="0" fontId="5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166" fontId="4" fillId="0" borderId="1" xfId="0" applyNumberFormat="1" applyFont="1" applyBorder="1" applyAlignment="1">
      <alignment horizontal="center" vertical="top" wrapText="1"/>
    </xf>
    <xf numFmtId="166" fontId="4" fillId="5" borderId="1" xfId="0" applyNumberFormat="1" applyFont="1" applyFill="1" applyBorder="1" applyAlignment="1">
      <alignment horizontal="center" vertical="top" wrapText="1"/>
    </xf>
    <xf numFmtId="166" fontId="5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2" fillId="3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right" vertical="center"/>
    </xf>
    <xf numFmtId="0" fontId="0" fillId="3" borderId="1" xfId="0" applyFill="1" applyBorder="1"/>
    <xf numFmtId="0" fontId="1" fillId="2" borderId="0" xfId="0" applyFont="1" applyFill="1" applyAlignment="1">
      <alignment horizontal="left" vertical="center" indent="1"/>
    </xf>
    <xf numFmtId="0" fontId="4" fillId="0" borderId="1" xfId="0" applyFont="1" applyBorder="1" applyAlignment="1">
      <alignment vertical="center" wrapText="1"/>
    </xf>
    <xf numFmtId="0" fontId="0" fillId="0" borderId="1" xfId="0" applyBorder="1"/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sz val="10"/>
        <color rgb="FF006100"/>
        <name val="Arial"/>
      </font>
      <fill>
        <patternFill patternType="solid">
          <bgColor rgb="FFC6EFCE"/>
        </patternFill>
      </fill>
    </dxf>
    <dxf>
      <font>
        <sz val="10"/>
        <color rgb="FF9C6500"/>
        <name val="Arial"/>
      </font>
      <fill>
        <patternFill patternType="solid">
          <bgColor rgb="FFFFEB9C"/>
        </patternFill>
      </fill>
    </dxf>
    <dxf>
      <font>
        <sz val="10"/>
        <color rgb="FF9C0006"/>
        <name val="Arial"/>
      </font>
      <fill>
        <patternFill patternType="solid">
          <bgColor rgb="FFFFC7CE"/>
        </patternFill>
      </fill>
    </dxf>
    <dxf>
      <font>
        <sz val="10"/>
        <color rgb="FF7F6000"/>
        <name val="Arial"/>
      </font>
      <fill>
        <patternFill patternType="solid">
          <bgColor rgb="FFFFF2CC"/>
        </patternFill>
      </fill>
    </dxf>
    <dxf>
      <font>
        <sz val="10"/>
        <color rgb="FF9C0006"/>
        <name val="Arial"/>
      </font>
      <fill>
        <patternFill patternType="solid">
          <bgColor rgb="FFFFC7CE"/>
        </patternFill>
      </fill>
    </dxf>
    <dxf>
      <font>
        <sz val="10"/>
        <color rgb="FF006100"/>
        <name val="Arial"/>
      </font>
      <fill>
        <patternFill patternType="solid">
          <bgColor rgb="FFC6EFCE"/>
        </patternFill>
      </fill>
    </dxf>
    <dxf>
      <font>
        <sz val="10"/>
        <color rgb="FF9C6500"/>
        <name val="Arial"/>
      </font>
      <fill>
        <patternFill patternType="solid">
          <bgColor rgb="FFFFEB9C"/>
        </patternFill>
      </fill>
    </dxf>
    <dxf>
      <font>
        <sz val="10"/>
        <color rgb="FF9C0006"/>
        <name val="Arial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F52"/>
  <sheetViews>
    <sheetView showGridLines="0" workbookViewId="0">
      <selection sqref="A1:F1"/>
    </sheetView>
  </sheetViews>
  <sheetFormatPr defaultRowHeight="14.4" x14ac:dyDescent="0.3"/>
  <cols>
    <col min="1" max="1" width="30" customWidth="1"/>
    <col min="2" max="3" width="14" customWidth="1"/>
    <col min="4" max="4" width="15" customWidth="1"/>
    <col min="5" max="5" width="13" customWidth="1"/>
    <col min="6" max="6" width="62" customWidth="1"/>
  </cols>
  <sheetData>
    <row r="1" spans="1:6" ht="30" customHeight="1" x14ac:dyDescent="0.3">
      <c r="A1" s="33" t="s">
        <v>0</v>
      </c>
      <c r="B1" s="29"/>
      <c r="C1" s="29"/>
      <c r="D1" s="29"/>
      <c r="E1" s="29"/>
      <c r="F1" s="29"/>
    </row>
    <row r="2" spans="1:6" ht="24" customHeight="1" x14ac:dyDescent="0.3">
      <c r="A2" s="30" t="s">
        <v>1</v>
      </c>
      <c r="B2" s="29"/>
      <c r="C2" s="29"/>
      <c r="D2" s="29"/>
      <c r="E2" s="29"/>
      <c r="F2" s="29"/>
    </row>
    <row r="4" spans="1:6" x14ac:dyDescent="0.3">
      <c r="A4" s="1" t="s">
        <v>2</v>
      </c>
    </row>
    <row r="5" spans="1:6" ht="16.95" customHeight="1" x14ac:dyDescent="0.3">
      <c r="A5" s="2" t="s">
        <v>3</v>
      </c>
      <c r="B5" s="34" t="s">
        <v>4</v>
      </c>
      <c r="C5" s="35"/>
      <c r="D5" s="35"/>
      <c r="E5" s="35"/>
      <c r="F5" s="35"/>
    </row>
    <row r="6" spans="1:6" ht="16.95" customHeight="1" x14ac:dyDescent="0.3">
      <c r="A6" s="2" t="s">
        <v>5</v>
      </c>
      <c r="B6" s="34" t="s">
        <v>6</v>
      </c>
      <c r="C6" s="35"/>
      <c r="D6" s="35"/>
      <c r="E6" s="35"/>
      <c r="F6" s="35"/>
    </row>
    <row r="7" spans="1:6" ht="16.95" customHeight="1" x14ac:dyDescent="0.3">
      <c r="A7" s="2" t="s">
        <v>7</v>
      </c>
      <c r="B7" s="34" t="s">
        <v>8</v>
      </c>
      <c r="C7" s="35"/>
      <c r="D7" s="35"/>
      <c r="E7" s="35"/>
      <c r="F7" s="35"/>
    </row>
    <row r="8" spans="1:6" ht="16.95" customHeight="1" x14ac:dyDescent="0.3">
      <c r="A8" s="2" t="s">
        <v>9</v>
      </c>
      <c r="B8" s="34" t="s">
        <v>10</v>
      </c>
      <c r="C8" s="35"/>
      <c r="D8" s="35"/>
      <c r="E8" s="35"/>
      <c r="F8" s="35"/>
    </row>
    <row r="9" spans="1:6" ht="16.95" customHeight="1" x14ac:dyDescent="0.3">
      <c r="A9" s="2" t="s">
        <v>11</v>
      </c>
      <c r="B9" s="34" t="s">
        <v>12</v>
      </c>
      <c r="C9" s="35"/>
      <c r="D9" s="35"/>
      <c r="E9" s="35"/>
      <c r="F9" s="35"/>
    </row>
    <row r="10" spans="1:6" ht="16.95" customHeight="1" x14ac:dyDescent="0.3">
      <c r="A10" s="2" t="s">
        <v>13</v>
      </c>
      <c r="B10" s="34" t="s">
        <v>14</v>
      </c>
      <c r="C10" s="35"/>
      <c r="D10" s="35"/>
      <c r="E10" s="35"/>
      <c r="F10" s="35"/>
    </row>
    <row r="11" spans="1:6" ht="16.95" customHeight="1" x14ac:dyDescent="0.3">
      <c r="A11" s="2" t="s">
        <v>15</v>
      </c>
      <c r="B11" s="34" t="s">
        <v>16</v>
      </c>
      <c r="C11" s="35"/>
      <c r="D11" s="35"/>
      <c r="E11" s="35"/>
      <c r="F11" s="35"/>
    </row>
    <row r="12" spans="1:6" ht="16.95" customHeight="1" x14ac:dyDescent="0.3">
      <c r="A12" s="2" t="s">
        <v>17</v>
      </c>
      <c r="B12" s="34" t="s">
        <v>18</v>
      </c>
      <c r="C12" s="35"/>
      <c r="D12" s="35"/>
      <c r="E12" s="35"/>
      <c r="F12" s="35"/>
    </row>
    <row r="13" spans="1:6" ht="16.95" customHeight="1" x14ac:dyDescent="0.3">
      <c r="A13" s="2" t="s">
        <v>19</v>
      </c>
      <c r="B13" s="34" t="s">
        <v>20</v>
      </c>
      <c r="C13" s="35"/>
      <c r="D13" s="35"/>
      <c r="E13" s="35"/>
      <c r="F13" s="35"/>
    </row>
    <row r="14" spans="1:6" ht="16.95" customHeight="1" x14ac:dyDescent="0.3">
      <c r="A14" s="2" t="s">
        <v>21</v>
      </c>
      <c r="B14" s="34" t="s">
        <v>22</v>
      </c>
      <c r="C14" s="35"/>
      <c r="D14" s="35"/>
      <c r="E14" s="35"/>
      <c r="F14" s="35"/>
    </row>
    <row r="15" spans="1:6" ht="16.95" customHeight="1" x14ac:dyDescent="0.3">
      <c r="A15" s="2" t="s">
        <v>23</v>
      </c>
      <c r="B15" s="34" t="s">
        <v>24</v>
      </c>
      <c r="C15" s="35"/>
      <c r="D15" s="35"/>
      <c r="E15" s="35"/>
      <c r="F15" s="35"/>
    </row>
    <row r="16" spans="1:6" ht="16.95" customHeight="1" x14ac:dyDescent="0.3">
      <c r="A16" s="2" t="s">
        <v>25</v>
      </c>
      <c r="B16" s="34" t="s">
        <v>26</v>
      </c>
      <c r="C16" s="35"/>
      <c r="D16" s="35"/>
      <c r="E16" s="35"/>
      <c r="F16" s="35"/>
    </row>
    <row r="17" spans="1:6" ht="16.95" customHeight="1" x14ac:dyDescent="0.3">
      <c r="A17" s="2" t="s">
        <v>27</v>
      </c>
      <c r="B17" s="34" t="s">
        <v>28</v>
      </c>
      <c r="C17" s="35"/>
      <c r="D17" s="35"/>
      <c r="E17" s="35"/>
      <c r="F17" s="35"/>
    </row>
    <row r="18" spans="1:6" ht="16.95" customHeight="1" x14ac:dyDescent="0.3">
      <c r="A18" s="2" t="s">
        <v>29</v>
      </c>
      <c r="B18" s="34" t="s">
        <v>30</v>
      </c>
      <c r="C18" s="35"/>
      <c r="D18" s="35"/>
      <c r="E18" s="35"/>
      <c r="F18" s="35"/>
    </row>
    <row r="19" spans="1:6" ht="16.95" customHeight="1" x14ac:dyDescent="0.3">
      <c r="A19" s="2" t="s">
        <v>31</v>
      </c>
      <c r="B19" s="34" t="s">
        <v>32</v>
      </c>
      <c r="C19" s="35"/>
      <c r="D19" s="35"/>
      <c r="E19" s="35"/>
      <c r="F19" s="35"/>
    </row>
    <row r="21" spans="1:6" x14ac:dyDescent="0.3">
      <c r="A21" s="1" t="s">
        <v>33</v>
      </c>
    </row>
    <row r="22" spans="1:6" ht="24" customHeight="1" x14ac:dyDescent="0.3">
      <c r="A22" s="3" t="s">
        <v>34</v>
      </c>
      <c r="B22" s="3" t="s">
        <v>35</v>
      </c>
      <c r="C22" s="3" t="s">
        <v>36</v>
      </c>
      <c r="D22" s="3" t="s">
        <v>37</v>
      </c>
      <c r="E22" s="3" t="s">
        <v>38</v>
      </c>
      <c r="F22" s="3" t="s">
        <v>39</v>
      </c>
    </row>
    <row r="23" spans="1:6" ht="30" customHeight="1" x14ac:dyDescent="0.3">
      <c r="A23" s="4" t="s">
        <v>40</v>
      </c>
      <c r="B23" s="5">
        <f>COUNTIF('Sprint Plani'!$A$4:$A$64,$A23)</f>
        <v>17</v>
      </c>
      <c r="C23" s="6">
        <f>SUMIF('Sprint Plani'!$A$4:$A$64,$A23,'Sprint Plani'!$H$4:$H$64)</f>
        <v>36</v>
      </c>
      <c r="D23" s="6">
        <f>SUMIFS('Sprint Plani'!$H$4:$H$64,'Sprint Plani'!$A$4:$A$64,$A23,'Sprint Plani'!$K$4:$K$64,"Tamamlandı")</f>
        <v>9</v>
      </c>
      <c r="E23" s="7">
        <f>IFERROR($D23/$C23,0)</f>
        <v>0.25</v>
      </c>
      <c r="F23" s="8" t="s">
        <v>41</v>
      </c>
    </row>
    <row r="24" spans="1:6" ht="30" customHeight="1" x14ac:dyDescent="0.3">
      <c r="A24" s="4" t="s">
        <v>42</v>
      </c>
      <c r="B24" s="5">
        <f>COUNTIF('Sprint Plani'!$A$4:$A$64,$A24)</f>
        <v>21</v>
      </c>
      <c r="C24" s="6">
        <f>SUMIF('Sprint Plani'!$A$4:$A$64,$A24,'Sprint Plani'!$H$4:$H$64)</f>
        <v>45</v>
      </c>
      <c r="D24" s="6">
        <f>SUMIFS('Sprint Plani'!$H$4:$H$64,'Sprint Plani'!$A$4:$A$64,$A24,'Sprint Plani'!$K$4:$K$64,"Tamamlandı")</f>
        <v>0</v>
      </c>
      <c r="E24" s="7">
        <f>IFERROR($D24/$C24,0)</f>
        <v>0</v>
      </c>
      <c r="F24" s="8" t="s">
        <v>43</v>
      </c>
    </row>
    <row r="25" spans="1:6" ht="30" customHeight="1" x14ac:dyDescent="0.3">
      <c r="A25" s="4" t="s">
        <v>44</v>
      </c>
      <c r="B25" s="5">
        <f>COUNTIF('Sprint Plani'!$A$4:$A$64,$A25)</f>
        <v>23</v>
      </c>
      <c r="C25" s="6">
        <f>SUMIF('Sprint Plani'!$A$4:$A$64,$A25,'Sprint Plani'!$H$4:$H$64)</f>
        <v>45</v>
      </c>
      <c r="D25" s="6">
        <f>SUMIFS('Sprint Plani'!$H$4:$H$64,'Sprint Plani'!$A$4:$A$64,$A25,'Sprint Plani'!$K$4:$K$64,"Tamamlandı")</f>
        <v>0</v>
      </c>
      <c r="E25" s="7">
        <f>IFERROR($D25/$C25,0)</f>
        <v>0</v>
      </c>
      <c r="F25" s="8" t="s">
        <v>45</v>
      </c>
    </row>
    <row r="26" spans="1:6" x14ac:dyDescent="0.3">
      <c r="A26" s="9" t="s">
        <v>46</v>
      </c>
      <c r="B26" s="9">
        <f>SUM(B23:B25)</f>
        <v>61</v>
      </c>
      <c r="C26" s="10">
        <f>SUM(C23:C25)</f>
        <v>126</v>
      </c>
      <c r="D26" s="10">
        <f>SUM(D23:D25)</f>
        <v>9</v>
      </c>
      <c r="E26" s="11">
        <f>IFERROR(D26/C26,0)</f>
        <v>7.1428571428571425E-2</v>
      </c>
      <c r="F26" s="12" t="s">
        <v>47</v>
      </c>
    </row>
    <row r="28" spans="1:6" x14ac:dyDescent="0.3">
      <c r="A28" s="1" t="s">
        <v>48</v>
      </c>
    </row>
    <row r="29" spans="1:6" ht="19.95" customHeight="1" x14ac:dyDescent="0.3">
      <c r="A29" s="3" t="s">
        <v>49</v>
      </c>
      <c r="B29" s="3" t="s">
        <v>50</v>
      </c>
      <c r="C29" s="3" t="s">
        <v>51</v>
      </c>
      <c r="D29" s="3"/>
      <c r="E29" s="3"/>
      <c r="F29" s="3" t="s">
        <v>39</v>
      </c>
    </row>
    <row r="30" spans="1:6" ht="16.95" customHeight="1" x14ac:dyDescent="0.3">
      <c r="A30" s="13" t="s">
        <v>52</v>
      </c>
      <c r="B30" s="14">
        <f>COUNTIF('Sprint Plani'!$B$4:$B$64,$A30)</f>
        <v>4</v>
      </c>
      <c r="C30" s="15">
        <f>SUMIF('Sprint Plani'!$B$4:$B$64,$A30,'Sprint Plani'!$H$4:$H$64)</f>
        <v>9</v>
      </c>
      <c r="D30" s="14"/>
      <c r="E30" s="14"/>
      <c r="F30" s="8" t="s">
        <v>53</v>
      </c>
    </row>
    <row r="31" spans="1:6" ht="16.95" customHeight="1" x14ac:dyDescent="0.3">
      <c r="A31" s="13" t="s">
        <v>54</v>
      </c>
      <c r="B31" s="14">
        <f>COUNTIF('Sprint Plani'!$B$4:$B$64,$A31)</f>
        <v>4</v>
      </c>
      <c r="C31" s="15">
        <f>SUMIF('Sprint Plani'!$B$4:$B$64,$A31,'Sprint Plani'!$H$4:$H$64)</f>
        <v>9</v>
      </c>
      <c r="D31" s="14"/>
      <c r="E31" s="14"/>
      <c r="F31" s="8" t="s">
        <v>55</v>
      </c>
    </row>
    <row r="32" spans="1:6" ht="16.95" customHeight="1" x14ac:dyDescent="0.3">
      <c r="A32" s="13" t="s">
        <v>56</v>
      </c>
      <c r="B32" s="14">
        <f>COUNTIF('Sprint Plani'!$B$4:$B$64,$A32)</f>
        <v>4</v>
      </c>
      <c r="C32" s="15">
        <f>SUMIF('Sprint Plani'!$B$4:$B$64,$A32,'Sprint Plani'!$H$4:$H$64)</f>
        <v>9</v>
      </c>
      <c r="D32" s="14"/>
      <c r="E32" s="14"/>
      <c r="F32" s="8" t="s">
        <v>57</v>
      </c>
    </row>
    <row r="33" spans="1:6" ht="16.95" customHeight="1" x14ac:dyDescent="0.3">
      <c r="A33" s="13" t="s">
        <v>58</v>
      </c>
      <c r="B33" s="14">
        <f>COUNTIF('Sprint Plani'!$B$4:$B$64,$A33)</f>
        <v>5</v>
      </c>
      <c r="C33" s="15">
        <f>SUMIF('Sprint Plani'!$B$4:$B$64,$A33,'Sprint Plani'!$H$4:$H$64)</f>
        <v>9</v>
      </c>
      <c r="D33" s="14"/>
      <c r="E33" s="14"/>
      <c r="F33" s="8" t="s">
        <v>59</v>
      </c>
    </row>
    <row r="34" spans="1:6" ht="16.95" customHeight="1" x14ac:dyDescent="0.3">
      <c r="A34" s="13" t="s">
        <v>60</v>
      </c>
      <c r="B34" s="14">
        <f>COUNTIF('Sprint Plani'!$B$4:$B$64,$A34)</f>
        <v>5</v>
      </c>
      <c r="C34" s="15">
        <f>SUMIF('Sprint Plani'!$B$4:$B$64,$A34,'Sprint Plani'!$H$4:$H$64)</f>
        <v>9</v>
      </c>
      <c r="D34" s="14"/>
      <c r="E34" s="14"/>
      <c r="F34" s="8" t="s">
        <v>61</v>
      </c>
    </row>
    <row r="35" spans="1:6" ht="16.95" customHeight="1" x14ac:dyDescent="0.3">
      <c r="A35" s="13" t="s">
        <v>62</v>
      </c>
      <c r="B35" s="14">
        <f>COUNTIF('Sprint Plani'!$B$4:$B$64,$A35)</f>
        <v>4</v>
      </c>
      <c r="C35" s="15">
        <f>SUMIF('Sprint Plani'!$B$4:$B$64,$A35,'Sprint Plani'!$H$4:$H$64)</f>
        <v>9</v>
      </c>
      <c r="D35" s="14"/>
      <c r="E35" s="14"/>
      <c r="F35" s="8" t="s">
        <v>63</v>
      </c>
    </row>
    <row r="36" spans="1:6" ht="16.95" customHeight="1" x14ac:dyDescent="0.3">
      <c r="A36" s="13" t="s">
        <v>64</v>
      </c>
      <c r="B36" s="14">
        <f>COUNTIF('Sprint Plani'!$B$4:$B$64,$A36)</f>
        <v>4</v>
      </c>
      <c r="C36" s="15">
        <f>SUMIF('Sprint Plani'!$B$4:$B$64,$A36,'Sprint Plani'!$H$4:$H$64)</f>
        <v>9</v>
      </c>
      <c r="D36" s="14"/>
      <c r="E36" s="14"/>
      <c r="F36" s="8" t="s">
        <v>65</v>
      </c>
    </row>
    <row r="37" spans="1:6" ht="16.95" customHeight="1" x14ac:dyDescent="0.3">
      <c r="A37" s="13" t="s">
        <v>66</v>
      </c>
      <c r="B37" s="14">
        <f>COUNTIF('Sprint Plani'!$B$4:$B$64,$A37)</f>
        <v>4</v>
      </c>
      <c r="C37" s="15">
        <f>SUMIF('Sprint Plani'!$B$4:$B$64,$A37,'Sprint Plani'!$H$4:$H$64)</f>
        <v>9</v>
      </c>
      <c r="D37" s="14"/>
      <c r="E37" s="14"/>
      <c r="F37" s="8" t="s">
        <v>67</v>
      </c>
    </row>
    <row r="38" spans="1:6" ht="16.95" customHeight="1" x14ac:dyDescent="0.3">
      <c r="A38" s="13" t="s">
        <v>68</v>
      </c>
      <c r="B38" s="14">
        <f>COUNTIF('Sprint Plani'!$B$4:$B$64,$A38)</f>
        <v>4</v>
      </c>
      <c r="C38" s="15">
        <f>SUMIF('Sprint Plani'!$B$4:$B$64,$A38,'Sprint Plani'!$H$4:$H$64)</f>
        <v>9</v>
      </c>
      <c r="D38" s="14"/>
      <c r="E38" s="14"/>
      <c r="F38" s="8" t="s">
        <v>69</v>
      </c>
    </row>
    <row r="39" spans="1:6" ht="16.95" customHeight="1" x14ac:dyDescent="0.3">
      <c r="A39" s="13" t="s">
        <v>70</v>
      </c>
      <c r="B39" s="14">
        <f>COUNTIF('Sprint Plani'!$B$4:$B$64,$A39)</f>
        <v>4</v>
      </c>
      <c r="C39" s="15">
        <f>SUMIF('Sprint Plani'!$B$4:$B$64,$A39,'Sprint Plani'!$H$4:$H$64)</f>
        <v>9</v>
      </c>
      <c r="D39" s="14"/>
      <c r="E39" s="14"/>
      <c r="F39" s="8" t="s">
        <v>71</v>
      </c>
    </row>
    <row r="40" spans="1:6" ht="16.95" customHeight="1" x14ac:dyDescent="0.3">
      <c r="A40" s="13" t="s">
        <v>72</v>
      </c>
      <c r="B40" s="14">
        <f>COUNTIF('Sprint Plani'!$B$4:$B$64,$A40)</f>
        <v>5</v>
      </c>
      <c r="C40" s="15">
        <f>SUMIF('Sprint Plani'!$B$4:$B$64,$A40,'Sprint Plani'!$H$4:$H$64)</f>
        <v>9</v>
      </c>
      <c r="D40" s="14"/>
      <c r="E40" s="14"/>
      <c r="F40" s="8" t="s">
        <v>73</v>
      </c>
    </row>
    <row r="41" spans="1:6" ht="16.95" customHeight="1" x14ac:dyDescent="0.3">
      <c r="A41" s="13" t="s">
        <v>74</v>
      </c>
      <c r="B41" s="14">
        <f>COUNTIF('Sprint Plani'!$B$4:$B$64,$A41)</f>
        <v>4</v>
      </c>
      <c r="C41" s="15">
        <f>SUMIF('Sprint Plani'!$B$4:$B$64,$A41,'Sprint Plani'!$H$4:$H$64)</f>
        <v>9</v>
      </c>
      <c r="D41" s="14"/>
      <c r="E41" s="14"/>
      <c r="F41" s="8" t="s">
        <v>75</v>
      </c>
    </row>
    <row r="42" spans="1:6" ht="16.95" customHeight="1" x14ac:dyDescent="0.3">
      <c r="A42" s="13" t="s">
        <v>76</v>
      </c>
      <c r="B42" s="14">
        <f>COUNTIF('Sprint Plani'!$B$4:$B$64,$A42)</f>
        <v>5</v>
      </c>
      <c r="C42" s="15">
        <f>SUMIF('Sprint Plani'!$B$4:$B$64,$A42,'Sprint Plani'!$H$4:$H$64)</f>
        <v>9</v>
      </c>
      <c r="D42" s="14"/>
      <c r="E42" s="14"/>
      <c r="F42" s="8" t="s">
        <v>77</v>
      </c>
    </row>
    <row r="43" spans="1:6" ht="16.95" customHeight="1" x14ac:dyDescent="0.3">
      <c r="A43" s="13" t="s">
        <v>78</v>
      </c>
      <c r="B43" s="14">
        <f>COUNTIF('Sprint Plani'!$B$4:$B$64,$A43)</f>
        <v>5</v>
      </c>
      <c r="C43" s="15">
        <f>SUMIF('Sprint Plani'!$B$4:$B$64,$A43,'Sprint Plani'!$H$4:$H$64)</f>
        <v>9</v>
      </c>
      <c r="D43" s="14"/>
      <c r="E43" s="14"/>
      <c r="F43" s="8" t="s">
        <v>79</v>
      </c>
    </row>
    <row r="45" spans="1:6" x14ac:dyDescent="0.3">
      <c r="A45" s="1" t="s">
        <v>80</v>
      </c>
    </row>
    <row r="46" spans="1:6" ht="13.95" customHeight="1" x14ac:dyDescent="0.3">
      <c r="A46" s="36" t="s">
        <v>81</v>
      </c>
      <c r="B46" s="29"/>
      <c r="C46" s="29"/>
      <c r="D46" s="29"/>
      <c r="E46" s="29"/>
      <c r="F46" s="29"/>
    </row>
    <row r="47" spans="1:6" ht="25.05" customHeight="1" x14ac:dyDescent="0.3">
      <c r="A47" s="36" t="s">
        <v>82</v>
      </c>
      <c r="B47" s="29"/>
      <c r="C47" s="29"/>
      <c r="D47" s="29"/>
      <c r="E47" s="29"/>
      <c r="F47" s="29"/>
    </row>
    <row r="48" spans="1:6" ht="25.05" customHeight="1" x14ac:dyDescent="0.3">
      <c r="A48" s="36" t="s">
        <v>83</v>
      </c>
      <c r="B48" s="29"/>
      <c r="C48" s="29"/>
      <c r="D48" s="29"/>
      <c r="E48" s="29"/>
      <c r="F48" s="29"/>
    </row>
    <row r="49" spans="1:6" ht="25.05" customHeight="1" x14ac:dyDescent="0.3">
      <c r="A49" s="36" t="s">
        <v>84</v>
      </c>
      <c r="B49" s="29"/>
      <c r="C49" s="29"/>
      <c r="D49" s="29"/>
      <c r="E49" s="29"/>
      <c r="F49" s="29"/>
    </row>
    <row r="50" spans="1:6" ht="25.05" customHeight="1" x14ac:dyDescent="0.3">
      <c r="A50" s="36" t="s">
        <v>85</v>
      </c>
      <c r="B50" s="29"/>
      <c r="C50" s="29"/>
      <c r="D50" s="29"/>
      <c r="E50" s="29"/>
      <c r="F50" s="29"/>
    </row>
    <row r="51" spans="1:6" ht="13.95" customHeight="1" x14ac:dyDescent="0.3">
      <c r="A51" s="36" t="s">
        <v>86</v>
      </c>
      <c r="B51" s="29"/>
      <c r="C51" s="29"/>
      <c r="D51" s="29"/>
      <c r="E51" s="29"/>
      <c r="F51" s="29"/>
    </row>
    <row r="52" spans="1:6" ht="25.05" customHeight="1" x14ac:dyDescent="0.3">
      <c r="A52" s="36" t="s">
        <v>87</v>
      </c>
      <c r="B52" s="29"/>
      <c r="C52" s="29"/>
      <c r="D52" s="29"/>
      <c r="E52" s="29"/>
      <c r="F52" s="29"/>
    </row>
  </sheetData>
  <mergeCells count="24">
    <mergeCell ref="A50:F50"/>
    <mergeCell ref="B18:F18"/>
    <mergeCell ref="B17:F17"/>
    <mergeCell ref="B13:F13"/>
    <mergeCell ref="B6:F6"/>
    <mergeCell ref="B7:F7"/>
    <mergeCell ref="A46:F46"/>
    <mergeCell ref="B16:F16"/>
    <mergeCell ref="A1:F1"/>
    <mergeCell ref="B5:F5"/>
    <mergeCell ref="A52:F52"/>
    <mergeCell ref="B10:F10"/>
    <mergeCell ref="B19:F19"/>
    <mergeCell ref="A48:F48"/>
    <mergeCell ref="B9:F9"/>
    <mergeCell ref="A49:F49"/>
    <mergeCell ref="A51:F51"/>
    <mergeCell ref="B15:F15"/>
    <mergeCell ref="A2:F2"/>
    <mergeCell ref="B12:F12"/>
    <mergeCell ref="A47:F47"/>
    <mergeCell ref="B11:F11"/>
    <mergeCell ref="B14:F14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K70"/>
  <sheetViews>
    <sheetView showGridLines="0" tabSelected="1" workbookViewId="0">
      <pane xSplit="4" ySplit="3" topLeftCell="E4" activePane="bottomRight" state="frozen"/>
      <selection pane="topRight"/>
      <selection pane="bottomLeft"/>
      <selection pane="bottomRight" activeCell="F5" sqref="F5"/>
    </sheetView>
  </sheetViews>
  <sheetFormatPr defaultRowHeight="14.4" x14ac:dyDescent="0.3"/>
  <cols>
    <col min="1" max="2" width="9" customWidth="1"/>
    <col min="3" max="3" width="11" customWidth="1"/>
    <col min="4" max="4" width="18" customWidth="1"/>
    <col min="5" max="5" width="32" customWidth="1"/>
    <col min="6" max="6" width="68" customWidth="1"/>
    <col min="7" max="7" width="42" customWidth="1"/>
    <col min="8" max="8" width="9" customWidth="1"/>
    <col min="9" max="9" width="10" customWidth="1"/>
    <col min="10" max="10" width="12" customWidth="1"/>
    <col min="11" max="11" width="14" customWidth="1"/>
  </cols>
  <sheetData>
    <row r="1" spans="1:11" ht="30" customHeight="1" x14ac:dyDescent="0.3">
      <c r="A1" s="33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24" customHeight="1" x14ac:dyDescent="0.3">
      <c r="A2" s="30" t="s">
        <v>89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 ht="31.95" customHeight="1" x14ac:dyDescent="0.3">
      <c r="A3" s="3" t="s">
        <v>34</v>
      </c>
      <c r="B3" s="3" t="s">
        <v>49</v>
      </c>
      <c r="C3" s="3" t="s">
        <v>90</v>
      </c>
      <c r="D3" s="3" t="s">
        <v>91</v>
      </c>
      <c r="E3" s="3" t="s">
        <v>92</v>
      </c>
      <c r="F3" s="3" t="s">
        <v>93</v>
      </c>
      <c r="G3" s="3" t="s">
        <v>94</v>
      </c>
      <c r="H3" s="3" t="s">
        <v>95</v>
      </c>
      <c r="I3" s="3" t="s">
        <v>96</v>
      </c>
      <c r="J3" s="3" t="s">
        <v>97</v>
      </c>
      <c r="K3" s="3" t="s">
        <v>98</v>
      </c>
    </row>
    <row r="4" spans="1:11" ht="79.650000000000006" customHeight="1" x14ac:dyDescent="0.3">
      <c r="A4" s="16" t="s">
        <v>40</v>
      </c>
      <c r="B4" s="16" t="s">
        <v>52</v>
      </c>
      <c r="C4" s="16" t="s">
        <v>99</v>
      </c>
      <c r="D4" s="17" t="s">
        <v>100</v>
      </c>
      <c r="E4" s="17" t="s">
        <v>101</v>
      </c>
      <c r="F4" s="17" t="s">
        <v>102</v>
      </c>
      <c r="G4" s="17" t="s">
        <v>103</v>
      </c>
      <c r="H4" s="16">
        <v>2.5</v>
      </c>
      <c r="I4" s="16" t="s">
        <v>104</v>
      </c>
      <c r="J4" s="16" t="s">
        <v>105</v>
      </c>
      <c r="K4" s="16" t="s">
        <v>724</v>
      </c>
    </row>
    <row r="5" spans="1:11" ht="79.650000000000006" customHeight="1" x14ac:dyDescent="0.3">
      <c r="A5" s="18" t="s">
        <v>40</v>
      </c>
      <c r="B5" s="18" t="s">
        <v>52</v>
      </c>
      <c r="C5" s="18" t="s">
        <v>107</v>
      </c>
      <c r="D5" s="19" t="s">
        <v>100</v>
      </c>
      <c r="E5" s="19" t="s">
        <v>108</v>
      </c>
      <c r="F5" s="19" t="s">
        <v>109</v>
      </c>
      <c r="G5" s="19" t="s">
        <v>110</v>
      </c>
      <c r="H5" s="18">
        <v>1.5</v>
      </c>
      <c r="I5" s="18" t="s">
        <v>104</v>
      </c>
      <c r="J5" s="18" t="s">
        <v>99</v>
      </c>
      <c r="K5" s="18" t="s">
        <v>724</v>
      </c>
    </row>
    <row r="6" spans="1:11" ht="79.650000000000006" customHeight="1" x14ac:dyDescent="0.3">
      <c r="A6" s="16" t="s">
        <v>40</v>
      </c>
      <c r="B6" s="16" t="s">
        <v>52</v>
      </c>
      <c r="C6" s="16" t="s">
        <v>111</v>
      </c>
      <c r="D6" s="17" t="s">
        <v>112</v>
      </c>
      <c r="E6" s="17" t="s">
        <v>113</v>
      </c>
      <c r="F6" s="17" t="s">
        <v>114</v>
      </c>
      <c r="G6" s="17" t="s">
        <v>115</v>
      </c>
      <c r="H6" s="16">
        <v>3</v>
      </c>
      <c r="I6" s="16" t="s">
        <v>104</v>
      </c>
      <c r="J6" s="16" t="s">
        <v>105</v>
      </c>
      <c r="K6" s="16" t="s">
        <v>724</v>
      </c>
    </row>
    <row r="7" spans="1:11" ht="79.650000000000006" customHeight="1" x14ac:dyDescent="0.3">
      <c r="A7" s="18" t="s">
        <v>40</v>
      </c>
      <c r="B7" s="18" t="s">
        <v>52</v>
      </c>
      <c r="C7" s="18" t="s">
        <v>116</v>
      </c>
      <c r="D7" s="19" t="s">
        <v>112</v>
      </c>
      <c r="E7" s="19" t="s">
        <v>117</v>
      </c>
      <c r="F7" s="19" t="s">
        <v>118</v>
      </c>
      <c r="G7" s="19" t="s">
        <v>119</v>
      </c>
      <c r="H7" s="18">
        <v>2</v>
      </c>
      <c r="I7" s="18" t="s">
        <v>104</v>
      </c>
      <c r="J7" s="18" t="s">
        <v>111</v>
      </c>
      <c r="K7" s="18" t="s">
        <v>724</v>
      </c>
    </row>
    <row r="8" spans="1:11" ht="54.45" customHeight="1" x14ac:dyDescent="0.3">
      <c r="A8" s="16" t="s">
        <v>40</v>
      </c>
      <c r="B8" s="16" t="s">
        <v>54</v>
      </c>
      <c r="C8" s="16" t="s">
        <v>120</v>
      </c>
      <c r="D8" s="17" t="s">
        <v>121</v>
      </c>
      <c r="E8" s="17" t="s">
        <v>122</v>
      </c>
      <c r="F8" s="17" t="s">
        <v>123</v>
      </c>
      <c r="G8" s="17" t="s">
        <v>124</v>
      </c>
      <c r="H8" s="16">
        <v>2</v>
      </c>
      <c r="I8" s="16" t="s">
        <v>104</v>
      </c>
      <c r="J8" s="16" t="s">
        <v>116</v>
      </c>
      <c r="K8" s="16" t="s">
        <v>106</v>
      </c>
    </row>
    <row r="9" spans="1:11" ht="79.650000000000006" customHeight="1" x14ac:dyDescent="0.3">
      <c r="A9" s="18" t="s">
        <v>40</v>
      </c>
      <c r="B9" s="18" t="s">
        <v>54</v>
      </c>
      <c r="C9" s="18" t="s">
        <v>125</v>
      </c>
      <c r="D9" s="19" t="s">
        <v>121</v>
      </c>
      <c r="E9" s="19" t="s">
        <v>126</v>
      </c>
      <c r="F9" s="19" t="s">
        <v>127</v>
      </c>
      <c r="G9" s="19" t="s">
        <v>128</v>
      </c>
      <c r="H9" s="18">
        <v>3</v>
      </c>
      <c r="I9" s="18" t="s">
        <v>104</v>
      </c>
      <c r="J9" s="18" t="s">
        <v>120</v>
      </c>
      <c r="K9" s="18" t="s">
        <v>106</v>
      </c>
    </row>
    <row r="10" spans="1:11" ht="67.05" customHeight="1" x14ac:dyDescent="0.3">
      <c r="A10" s="16" t="s">
        <v>40</v>
      </c>
      <c r="B10" s="16" t="s">
        <v>54</v>
      </c>
      <c r="C10" s="16" t="s">
        <v>129</v>
      </c>
      <c r="D10" s="17" t="s">
        <v>121</v>
      </c>
      <c r="E10" s="17" t="s">
        <v>130</v>
      </c>
      <c r="F10" s="17" t="s">
        <v>131</v>
      </c>
      <c r="G10" s="17" t="s">
        <v>132</v>
      </c>
      <c r="H10" s="16">
        <v>2.5</v>
      </c>
      <c r="I10" s="16" t="s">
        <v>104</v>
      </c>
      <c r="J10" s="16" t="s">
        <v>125</v>
      </c>
      <c r="K10" s="16" t="s">
        <v>106</v>
      </c>
    </row>
    <row r="11" spans="1:11" ht="79.650000000000006" customHeight="1" x14ac:dyDescent="0.3">
      <c r="A11" s="18" t="s">
        <v>40</v>
      </c>
      <c r="B11" s="18" t="s">
        <v>54</v>
      </c>
      <c r="C11" s="18" t="s">
        <v>133</v>
      </c>
      <c r="D11" s="19" t="s">
        <v>112</v>
      </c>
      <c r="E11" s="19" t="s">
        <v>134</v>
      </c>
      <c r="F11" s="19" t="s">
        <v>135</v>
      </c>
      <c r="G11" s="19" t="s">
        <v>136</v>
      </c>
      <c r="H11" s="18">
        <v>1.5</v>
      </c>
      <c r="I11" s="18" t="s">
        <v>104</v>
      </c>
      <c r="J11" s="18" t="s">
        <v>111</v>
      </c>
      <c r="K11" s="18" t="s">
        <v>106</v>
      </c>
    </row>
    <row r="12" spans="1:11" ht="79.650000000000006" customHeight="1" x14ac:dyDescent="0.3">
      <c r="A12" s="16" t="s">
        <v>40</v>
      </c>
      <c r="B12" s="16" t="s">
        <v>56</v>
      </c>
      <c r="C12" s="16" t="s">
        <v>137</v>
      </c>
      <c r="D12" s="17" t="s">
        <v>112</v>
      </c>
      <c r="E12" s="17" t="s">
        <v>138</v>
      </c>
      <c r="F12" s="17" t="s">
        <v>139</v>
      </c>
      <c r="G12" s="17" t="s">
        <v>140</v>
      </c>
      <c r="H12" s="16">
        <v>3.5</v>
      </c>
      <c r="I12" s="16" t="s">
        <v>104</v>
      </c>
      <c r="J12" s="16" t="s">
        <v>125</v>
      </c>
      <c r="K12" s="16" t="s">
        <v>106</v>
      </c>
    </row>
    <row r="13" spans="1:11" ht="79.650000000000006" customHeight="1" x14ac:dyDescent="0.3">
      <c r="A13" s="18" t="s">
        <v>40</v>
      </c>
      <c r="B13" s="18" t="s">
        <v>56</v>
      </c>
      <c r="C13" s="18" t="s">
        <v>141</v>
      </c>
      <c r="D13" s="19" t="s">
        <v>112</v>
      </c>
      <c r="E13" s="19" t="s">
        <v>142</v>
      </c>
      <c r="F13" s="19" t="s">
        <v>143</v>
      </c>
      <c r="G13" s="19" t="s">
        <v>144</v>
      </c>
      <c r="H13" s="18">
        <v>1.5</v>
      </c>
      <c r="I13" s="18" t="s">
        <v>104</v>
      </c>
      <c r="J13" s="18" t="s">
        <v>137</v>
      </c>
      <c r="K13" s="18" t="s">
        <v>106</v>
      </c>
    </row>
    <row r="14" spans="1:11" ht="67.05" customHeight="1" x14ac:dyDescent="0.3">
      <c r="A14" s="16" t="s">
        <v>40</v>
      </c>
      <c r="B14" s="16" t="s">
        <v>56</v>
      </c>
      <c r="C14" s="16" t="s">
        <v>145</v>
      </c>
      <c r="D14" s="17" t="s">
        <v>146</v>
      </c>
      <c r="E14" s="17" t="s">
        <v>147</v>
      </c>
      <c r="F14" s="17" t="s">
        <v>148</v>
      </c>
      <c r="G14" s="17" t="s">
        <v>149</v>
      </c>
      <c r="H14" s="16">
        <v>2</v>
      </c>
      <c r="I14" s="16" t="s">
        <v>104</v>
      </c>
      <c r="J14" s="16" t="s">
        <v>105</v>
      </c>
      <c r="K14" s="16" t="s">
        <v>106</v>
      </c>
    </row>
    <row r="15" spans="1:11" ht="79.650000000000006" customHeight="1" x14ac:dyDescent="0.3">
      <c r="A15" s="18" t="s">
        <v>40</v>
      </c>
      <c r="B15" s="18" t="s">
        <v>56</v>
      </c>
      <c r="C15" s="18" t="s">
        <v>150</v>
      </c>
      <c r="D15" s="19" t="s">
        <v>151</v>
      </c>
      <c r="E15" s="19" t="s">
        <v>152</v>
      </c>
      <c r="F15" s="19" t="s">
        <v>153</v>
      </c>
      <c r="G15" s="19" t="s">
        <v>154</v>
      </c>
      <c r="H15" s="18">
        <v>2</v>
      </c>
      <c r="I15" s="18" t="s">
        <v>155</v>
      </c>
      <c r="J15" s="18" t="s">
        <v>99</v>
      </c>
      <c r="K15" s="18" t="s">
        <v>106</v>
      </c>
    </row>
    <row r="16" spans="1:11" ht="79.650000000000006" customHeight="1" x14ac:dyDescent="0.3">
      <c r="A16" s="16" t="s">
        <v>40</v>
      </c>
      <c r="B16" s="16" t="s">
        <v>58</v>
      </c>
      <c r="C16" s="16" t="s">
        <v>156</v>
      </c>
      <c r="D16" s="17" t="s">
        <v>157</v>
      </c>
      <c r="E16" s="17" t="s">
        <v>158</v>
      </c>
      <c r="F16" s="17" t="s">
        <v>159</v>
      </c>
      <c r="G16" s="17" t="s">
        <v>160</v>
      </c>
      <c r="H16" s="16">
        <v>2</v>
      </c>
      <c r="I16" s="16" t="s">
        <v>104</v>
      </c>
      <c r="J16" s="16" t="s">
        <v>105</v>
      </c>
      <c r="K16" s="16" t="s">
        <v>106</v>
      </c>
    </row>
    <row r="17" spans="1:11" ht="79.650000000000006" customHeight="1" x14ac:dyDescent="0.3">
      <c r="A17" s="18" t="s">
        <v>40</v>
      </c>
      <c r="B17" s="18" t="s">
        <v>58</v>
      </c>
      <c r="C17" s="18" t="s">
        <v>161</v>
      </c>
      <c r="D17" s="19" t="s">
        <v>162</v>
      </c>
      <c r="E17" s="19" t="s">
        <v>163</v>
      </c>
      <c r="F17" s="19" t="s">
        <v>164</v>
      </c>
      <c r="G17" s="19" t="s">
        <v>165</v>
      </c>
      <c r="H17" s="18">
        <v>2</v>
      </c>
      <c r="I17" s="18" t="s">
        <v>155</v>
      </c>
      <c r="J17" s="18" t="s">
        <v>156</v>
      </c>
      <c r="K17" s="18" t="s">
        <v>106</v>
      </c>
    </row>
    <row r="18" spans="1:11" ht="67.05" customHeight="1" x14ac:dyDescent="0.3">
      <c r="A18" s="16" t="s">
        <v>40</v>
      </c>
      <c r="B18" s="16" t="s">
        <v>58</v>
      </c>
      <c r="C18" s="16" t="s">
        <v>166</v>
      </c>
      <c r="D18" s="17" t="s">
        <v>167</v>
      </c>
      <c r="E18" s="17" t="s">
        <v>168</v>
      </c>
      <c r="F18" s="17" t="s">
        <v>169</v>
      </c>
      <c r="G18" s="17" t="s">
        <v>170</v>
      </c>
      <c r="H18" s="16">
        <v>1.5</v>
      </c>
      <c r="I18" s="16" t="s">
        <v>104</v>
      </c>
      <c r="J18" s="16" t="s">
        <v>156</v>
      </c>
      <c r="K18" s="16" t="s">
        <v>106</v>
      </c>
    </row>
    <row r="19" spans="1:11" ht="67.05" customHeight="1" x14ac:dyDescent="0.3">
      <c r="A19" s="18" t="s">
        <v>40</v>
      </c>
      <c r="B19" s="18" t="s">
        <v>58</v>
      </c>
      <c r="C19" s="18" t="s">
        <v>171</v>
      </c>
      <c r="D19" s="19" t="s">
        <v>172</v>
      </c>
      <c r="E19" s="19" t="s">
        <v>173</v>
      </c>
      <c r="F19" s="19" t="s">
        <v>174</v>
      </c>
      <c r="G19" s="19" t="s">
        <v>175</v>
      </c>
      <c r="H19" s="18">
        <v>2</v>
      </c>
      <c r="I19" s="18" t="s">
        <v>104</v>
      </c>
      <c r="J19" s="18" t="s">
        <v>156</v>
      </c>
      <c r="K19" s="18" t="s">
        <v>106</v>
      </c>
    </row>
    <row r="20" spans="1:11" ht="54.45" customHeight="1" x14ac:dyDescent="0.3">
      <c r="A20" s="16" t="s">
        <v>40</v>
      </c>
      <c r="B20" s="16" t="s">
        <v>58</v>
      </c>
      <c r="C20" s="16" t="s">
        <v>176</v>
      </c>
      <c r="D20" s="17" t="s">
        <v>177</v>
      </c>
      <c r="E20" s="17" t="s">
        <v>178</v>
      </c>
      <c r="F20" s="17" t="s">
        <v>179</v>
      </c>
      <c r="G20" s="17" t="s">
        <v>180</v>
      </c>
      <c r="H20" s="16">
        <v>1.5</v>
      </c>
      <c r="I20" s="16" t="s">
        <v>155</v>
      </c>
      <c r="J20" s="16" t="s">
        <v>171</v>
      </c>
      <c r="K20" s="16" t="s">
        <v>106</v>
      </c>
    </row>
    <row r="21" spans="1:11" ht="41.85" customHeight="1" x14ac:dyDescent="0.3">
      <c r="A21" s="18" t="s">
        <v>42</v>
      </c>
      <c r="B21" s="18" t="s">
        <v>60</v>
      </c>
      <c r="C21" s="18" t="s">
        <v>181</v>
      </c>
      <c r="D21" s="19" t="s">
        <v>182</v>
      </c>
      <c r="E21" s="19" t="s">
        <v>183</v>
      </c>
      <c r="F21" s="19" t="s">
        <v>184</v>
      </c>
      <c r="G21" s="19" t="s">
        <v>185</v>
      </c>
      <c r="H21" s="18">
        <v>1.5</v>
      </c>
      <c r="I21" s="18" t="s">
        <v>104</v>
      </c>
      <c r="J21" s="18" t="s">
        <v>171</v>
      </c>
      <c r="K21" s="18" t="s">
        <v>106</v>
      </c>
    </row>
    <row r="22" spans="1:11" ht="41.85" customHeight="1" x14ac:dyDescent="0.3">
      <c r="A22" s="16" t="s">
        <v>42</v>
      </c>
      <c r="B22" s="16" t="s">
        <v>60</v>
      </c>
      <c r="C22" s="16" t="s">
        <v>186</v>
      </c>
      <c r="D22" s="17" t="s">
        <v>182</v>
      </c>
      <c r="E22" s="17" t="s">
        <v>187</v>
      </c>
      <c r="F22" s="17" t="s">
        <v>188</v>
      </c>
      <c r="G22" s="17" t="s">
        <v>189</v>
      </c>
      <c r="H22" s="16">
        <v>2</v>
      </c>
      <c r="I22" s="16" t="s">
        <v>155</v>
      </c>
      <c r="J22" s="16" t="s">
        <v>181</v>
      </c>
      <c r="K22" s="16" t="s">
        <v>106</v>
      </c>
    </row>
    <row r="23" spans="1:11" ht="79.650000000000006" customHeight="1" x14ac:dyDescent="0.3">
      <c r="A23" s="18" t="s">
        <v>42</v>
      </c>
      <c r="B23" s="18" t="s">
        <v>60</v>
      </c>
      <c r="C23" s="18" t="s">
        <v>190</v>
      </c>
      <c r="D23" s="19" t="s">
        <v>191</v>
      </c>
      <c r="E23" s="19" t="s">
        <v>192</v>
      </c>
      <c r="F23" s="19" t="s">
        <v>193</v>
      </c>
      <c r="G23" s="19" t="s">
        <v>194</v>
      </c>
      <c r="H23" s="18">
        <v>3.5</v>
      </c>
      <c r="I23" s="18" t="s">
        <v>104</v>
      </c>
      <c r="J23" s="18" t="s">
        <v>186</v>
      </c>
      <c r="K23" s="18" t="s">
        <v>106</v>
      </c>
    </row>
    <row r="24" spans="1:11" ht="54.45" customHeight="1" x14ac:dyDescent="0.3">
      <c r="A24" s="16" t="s">
        <v>42</v>
      </c>
      <c r="B24" s="16" t="s">
        <v>60</v>
      </c>
      <c r="C24" s="16" t="s">
        <v>195</v>
      </c>
      <c r="D24" s="17" t="s">
        <v>196</v>
      </c>
      <c r="E24" s="17" t="s">
        <v>197</v>
      </c>
      <c r="F24" s="17" t="s">
        <v>198</v>
      </c>
      <c r="G24" s="17" t="s">
        <v>199</v>
      </c>
      <c r="H24" s="16">
        <v>1</v>
      </c>
      <c r="I24" s="16" t="s">
        <v>155</v>
      </c>
      <c r="J24" s="16" t="s">
        <v>190</v>
      </c>
      <c r="K24" s="16" t="s">
        <v>106</v>
      </c>
    </row>
    <row r="25" spans="1:11" ht="41.85" customHeight="1" x14ac:dyDescent="0.3">
      <c r="A25" s="18" t="s">
        <v>42</v>
      </c>
      <c r="B25" s="18" t="s">
        <v>60</v>
      </c>
      <c r="C25" s="18" t="s">
        <v>200</v>
      </c>
      <c r="D25" s="19" t="s">
        <v>167</v>
      </c>
      <c r="E25" s="19" t="s">
        <v>201</v>
      </c>
      <c r="F25" s="19" t="s">
        <v>202</v>
      </c>
      <c r="G25" s="19" t="s">
        <v>203</v>
      </c>
      <c r="H25" s="18">
        <v>1</v>
      </c>
      <c r="I25" s="18" t="s">
        <v>104</v>
      </c>
      <c r="J25" s="18" t="s">
        <v>190</v>
      </c>
      <c r="K25" s="18" t="s">
        <v>106</v>
      </c>
    </row>
    <row r="26" spans="1:11" ht="67.05" customHeight="1" x14ac:dyDescent="0.3">
      <c r="A26" s="16" t="s">
        <v>42</v>
      </c>
      <c r="B26" s="16" t="s">
        <v>62</v>
      </c>
      <c r="C26" s="16" t="s">
        <v>204</v>
      </c>
      <c r="D26" s="17" t="s">
        <v>205</v>
      </c>
      <c r="E26" s="17" t="s">
        <v>206</v>
      </c>
      <c r="F26" s="17" t="s">
        <v>207</v>
      </c>
      <c r="G26" s="17" t="s">
        <v>208</v>
      </c>
      <c r="H26" s="16">
        <v>3</v>
      </c>
      <c r="I26" s="16" t="s">
        <v>104</v>
      </c>
      <c r="J26" s="16" t="s">
        <v>176</v>
      </c>
      <c r="K26" s="16" t="s">
        <v>106</v>
      </c>
    </row>
    <row r="27" spans="1:11" ht="79.650000000000006" customHeight="1" x14ac:dyDescent="0.3">
      <c r="A27" s="18" t="s">
        <v>42</v>
      </c>
      <c r="B27" s="18" t="s">
        <v>62</v>
      </c>
      <c r="C27" s="18" t="s">
        <v>209</v>
      </c>
      <c r="D27" s="19" t="s">
        <v>205</v>
      </c>
      <c r="E27" s="19" t="s">
        <v>210</v>
      </c>
      <c r="F27" s="19" t="s">
        <v>211</v>
      </c>
      <c r="G27" s="19" t="s">
        <v>212</v>
      </c>
      <c r="H27" s="18">
        <v>2</v>
      </c>
      <c r="I27" s="18" t="s">
        <v>104</v>
      </c>
      <c r="J27" s="18" t="s">
        <v>204</v>
      </c>
      <c r="K27" s="18" t="s">
        <v>106</v>
      </c>
    </row>
    <row r="28" spans="1:11" ht="54.45" customHeight="1" x14ac:dyDescent="0.3">
      <c r="A28" s="16" t="s">
        <v>42</v>
      </c>
      <c r="B28" s="16" t="s">
        <v>62</v>
      </c>
      <c r="C28" s="16" t="s">
        <v>213</v>
      </c>
      <c r="D28" s="17" t="s">
        <v>205</v>
      </c>
      <c r="E28" s="17" t="s">
        <v>214</v>
      </c>
      <c r="F28" s="17" t="s">
        <v>215</v>
      </c>
      <c r="G28" s="17" t="s">
        <v>216</v>
      </c>
      <c r="H28" s="16">
        <v>2</v>
      </c>
      <c r="I28" s="16" t="s">
        <v>155</v>
      </c>
      <c r="J28" s="16" t="s">
        <v>209</v>
      </c>
      <c r="K28" s="16" t="s">
        <v>106</v>
      </c>
    </row>
    <row r="29" spans="1:11" ht="54.45" customHeight="1" x14ac:dyDescent="0.3">
      <c r="A29" s="18" t="s">
        <v>42</v>
      </c>
      <c r="B29" s="18" t="s">
        <v>62</v>
      </c>
      <c r="C29" s="18" t="s">
        <v>217</v>
      </c>
      <c r="D29" s="19" t="s">
        <v>205</v>
      </c>
      <c r="E29" s="19" t="s">
        <v>218</v>
      </c>
      <c r="F29" s="19" t="s">
        <v>219</v>
      </c>
      <c r="G29" s="19" t="s">
        <v>220</v>
      </c>
      <c r="H29" s="18">
        <v>2</v>
      </c>
      <c r="I29" s="18" t="s">
        <v>155</v>
      </c>
      <c r="J29" s="18" t="s">
        <v>213</v>
      </c>
      <c r="K29" s="18" t="s">
        <v>106</v>
      </c>
    </row>
    <row r="30" spans="1:11" ht="54.45" customHeight="1" x14ac:dyDescent="0.3">
      <c r="A30" s="16" t="s">
        <v>42</v>
      </c>
      <c r="B30" s="16" t="s">
        <v>64</v>
      </c>
      <c r="C30" s="16" t="s">
        <v>221</v>
      </c>
      <c r="D30" s="17" t="s">
        <v>222</v>
      </c>
      <c r="E30" s="17" t="s">
        <v>223</v>
      </c>
      <c r="F30" s="17" t="s">
        <v>224</v>
      </c>
      <c r="G30" s="17" t="s">
        <v>225</v>
      </c>
      <c r="H30" s="16">
        <v>3</v>
      </c>
      <c r="I30" s="16" t="s">
        <v>104</v>
      </c>
      <c r="J30" s="16" t="s">
        <v>176</v>
      </c>
      <c r="K30" s="16" t="s">
        <v>106</v>
      </c>
    </row>
    <row r="31" spans="1:11" ht="54.45" customHeight="1" x14ac:dyDescent="0.3">
      <c r="A31" s="18" t="s">
        <v>42</v>
      </c>
      <c r="B31" s="18" t="s">
        <v>64</v>
      </c>
      <c r="C31" s="18" t="s">
        <v>226</v>
      </c>
      <c r="D31" s="19" t="s">
        <v>222</v>
      </c>
      <c r="E31" s="19" t="s">
        <v>227</v>
      </c>
      <c r="F31" s="19" t="s">
        <v>228</v>
      </c>
      <c r="G31" s="19" t="s">
        <v>229</v>
      </c>
      <c r="H31" s="18">
        <v>1.5</v>
      </c>
      <c r="I31" s="18" t="s">
        <v>155</v>
      </c>
      <c r="J31" s="18" t="s">
        <v>221</v>
      </c>
      <c r="K31" s="18" t="s">
        <v>106</v>
      </c>
    </row>
    <row r="32" spans="1:11" ht="54.45" customHeight="1" x14ac:dyDescent="0.3">
      <c r="A32" s="16" t="s">
        <v>42</v>
      </c>
      <c r="B32" s="16" t="s">
        <v>64</v>
      </c>
      <c r="C32" s="16" t="s">
        <v>230</v>
      </c>
      <c r="D32" s="17" t="s">
        <v>222</v>
      </c>
      <c r="E32" s="17" t="s">
        <v>231</v>
      </c>
      <c r="F32" s="17" t="s">
        <v>232</v>
      </c>
      <c r="G32" s="17" t="s">
        <v>233</v>
      </c>
      <c r="H32" s="16">
        <v>2</v>
      </c>
      <c r="I32" s="16" t="s">
        <v>104</v>
      </c>
      <c r="J32" s="16" t="s">
        <v>221</v>
      </c>
      <c r="K32" s="16" t="s">
        <v>106</v>
      </c>
    </row>
    <row r="33" spans="1:11" ht="67.05" customHeight="1" x14ac:dyDescent="0.3">
      <c r="A33" s="18" t="s">
        <v>42</v>
      </c>
      <c r="B33" s="18" t="s">
        <v>64</v>
      </c>
      <c r="C33" s="18" t="s">
        <v>234</v>
      </c>
      <c r="D33" s="19" t="s">
        <v>222</v>
      </c>
      <c r="E33" s="19" t="s">
        <v>235</v>
      </c>
      <c r="F33" s="19" t="s">
        <v>236</v>
      </c>
      <c r="G33" s="19" t="s">
        <v>237</v>
      </c>
      <c r="H33" s="18">
        <v>2.5</v>
      </c>
      <c r="I33" s="18" t="s">
        <v>104</v>
      </c>
      <c r="J33" s="18" t="s">
        <v>230</v>
      </c>
      <c r="K33" s="18" t="s">
        <v>106</v>
      </c>
    </row>
    <row r="34" spans="1:11" ht="67.05" customHeight="1" x14ac:dyDescent="0.3">
      <c r="A34" s="16" t="s">
        <v>42</v>
      </c>
      <c r="B34" s="16" t="s">
        <v>66</v>
      </c>
      <c r="C34" s="16" t="s">
        <v>238</v>
      </c>
      <c r="D34" s="17" t="s">
        <v>196</v>
      </c>
      <c r="E34" s="17" t="s">
        <v>239</v>
      </c>
      <c r="F34" s="17" t="s">
        <v>240</v>
      </c>
      <c r="G34" s="17" t="s">
        <v>241</v>
      </c>
      <c r="H34" s="16">
        <v>3</v>
      </c>
      <c r="I34" s="16" t="s">
        <v>104</v>
      </c>
      <c r="J34" s="16" t="s">
        <v>176</v>
      </c>
      <c r="K34" s="16" t="s">
        <v>106</v>
      </c>
    </row>
    <row r="35" spans="1:11" ht="79.650000000000006" customHeight="1" x14ac:dyDescent="0.3">
      <c r="A35" s="18" t="s">
        <v>42</v>
      </c>
      <c r="B35" s="18" t="s">
        <v>66</v>
      </c>
      <c r="C35" s="18" t="s">
        <v>242</v>
      </c>
      <c r="D35" s="19" t="s">
        <v>196</v>
      </c>
      <c r="E35" s="19" t="s">
        <v>243</v>
      </c>
      <c r="F35" s="19" t="s">
        <v>244</v>
      </c>
      <c r="G35" s="19" t="s">
        <v>245</v>
      </c>
      <c r="H35" s="18">
        <v>3</v>
      </c>
      <c r="I35" s="18" t="s">
        <v>104</v>
      </c>
      <c r="J35" s="18" t="s">
        <v>238</v>
      </c>
      <c r="K35" s="18" t="s">
        <v>106</v>
      </c>
    </row>
    <row r="36" spans="1:11" ht="54.45" customHeight="1" x14ac:dyDescent="0.3">
      <c r="A36" s="16" t="s">
        <v>42</v>
      </c>
      <c r="B36" s="16" t="s">
        <v>66</v>
      </c>
      <c r="C36" s="16" t="s">
        <v>246</v>
      </c>
      <c r="D36" s="17" t="s">
        <v>196</v>
      </c>
      <c r="E36" s="17" t="s">
        <v>247</v>
      </c>
      <c r="F36" s="17" t="s">
        <v>248</v>
      </c>
      <c r="G36" s="17" t="s">
        <v>249</v>
      </c>
      <c r="H36" s="16">
        <v>2</v>
      </c>
      <c r="I36" s="16" t="s">
        <v>155</v>
      </c>
      <c r="J36" s="16" t="s">
        <v>242</v>
      </c>
      <c r="K36" s="16" t="s">
        <v>106</v>
      </c>
    </row>
    <row r="37" spans="1:11" ht="54.45" customHeight="1" x14ac:dyDescent="0.3">
      <c r="A37" s="18" t="s">
        <v>42</v>
      </c>
      <c r="B37" s="18" t="s">
        <v>66</v>
      </c>
      <c r="C37" s="18" t="s">
        <v>250</v>
      </c>
      <c r="D37" s="19" t="s">
        <v>196</v>
      </c>
      <c r="E37" s="19" t="s">
        <v>251</v>
      </c>
      <c r="F37" s="19" t="s">
        <v>252</v>
      </c>
      <c r="G37" s="19" t="s">
        <v>253</v>
      </c>
      <c r="H37" s="18">
        <v>1</v>
      </c>
      <c r="I37" s="18" t="s">
        <v>254</v>
      </c>
      <c r="J37" s="18" t="s">
        <v>246</v>
      </c>
      <c r="K37" s="18" t="s">
        <v>106</v>
      </c>
    </row>
    <row r="38" spans="1:11" ht="67.05" customHeight="1" x14ac:dyDescent="0.3">
      <c r="A38" s="16" t="s">
        <v>42</v>
      </c>
      <c r="B38" s="16" t="s">
        <v>68</v>
      </c>
      <c r="C38" s="16" t="s">
        <v>255</v>
      </c>
      <c r="D38" s="17" t="s">
        <v>256</v>
      </c>
      <c r="E38" s="17" t="s">
        <v>257</v>
      </c>
      <c r="F38" s="17" t="s">
        <v>258</v>
      </c>
      <c r="G38" s="17" t="s">
        <v>259</v>
      </c>
      <c r="H38" s="16">
        <v>2.5</v>
      </c>
      <c r="I38" s="16" t="s">
        <v>104</v>
      </c>
      <c r="J38" s="16" t="s">
        <v>176</v>
      </c>
      <c r="K38" s="16" t="s">
        <v>106</v>
      </c>
    </row>
    <row r="39" spans="1:11" ht="79.650000000000006" customHeight="1" x14ac:dyDescent="0.3">
      <c r="A39" s="18" t="s">
        <v>42</v>
      </c>
      <c r="B39" s="18" t="s">
        <v>68</v>
      </c>
      <c r="C39" s="18" t="s">
        <v>260</v>
      </c>
      <c r="D39" s="19" t="s">
        <v>261</v>
      </c>
      <c r="E39" s="19" t="s">
        <v>262</v>
      </c>
      <c r="F39" s="19" t="s">
        <v>263</v>
      </c>
      <c r="G39" s="19" t="s">
        <v>264</v>
      </c>
      <c r="H39" s="18">
        <v>3</v>
      </c>
      <c r="I39" s="18" t="s">
        <v>104</v>
      </c>
      <c r="J39" s="18" t="s">
        <v>156</v>
      </c>
      <c r="K39" s="18" t="s">
        <v>106</v>
      </c>
    </row>
    <row r="40" spans="1:11" ht="54.45" customHeight="1" x14ac:dyDescent="0.3">
      <c r="A40" s="16" t="s">
        <v>42</v>
      </c>
      <c r="B40" s="16" t="s">
        <v>68</v>
      </c>
      <c r="C40" s="16" t="s">
        <v>265</v>
      </c>
      <c r="D40" s="17" t="s">
        <v>261</v>
      </c>
      <c r="E40" s="17" t="s">
        <v>266</v>
      </c>
      <c r="F40" s="17" t="s">
        <v>267</v>
      </c>
      <c r="G40" s="17" t="s">
        <v>268</v>
      </c>
      <c r="H40" s="16">
        <v>2</v>
      </c>
      <c r="I40" s="16" t="s">
        <v>104</v>
      </c>
      <c r="J40" s="16" t="s">
        <v>260</v>
      </c>
      <c r="K40" s="16" t="s">
        <v>106</v>
      </c>
    </row>
    <row r="41" spans="1:11" ht="67.05" customHeight="1" x14ac:dyDescent="0.3">
      <c r="A41" s="18" t="s">
        <v>42</v>
      </c>
      <c r="B41" s="18" t="s">
        <v>68</v>
      </c>
      <c r="C41" s="18" t="s">
        <v>269</v>
      </c>
      <c r="D41" s="19" t="s">
        <v>270</v>
      </c>
      <c r="E41" s="19" t="s">
        <v>271</v>
      </c>
      <c r="F41" s="19" t="s">
        <v>272</v>
      </c>
      <c r="G41" s="19" t="s">
        <v>273</v>
      </c>
      <c r="H41" s="18">
        <v>1.5</v>
      </c>
      <c r="I41" s="18" t="s">
        <v>155</v>
      </c>
      <c r="J41" s="18" t="s">
        <v>217</v>
      </c>
      <c r="K41" s="18" t="s">
        <v>106</v>
      </c>
    </row>
    <row r="42" spans="1:11" ht="79.650000000000006" customHeight="1" x14ac:dyDescent="0.3">
      <c r="A42" s="16" t="s">
        <v>44</v>
      </c>
      <c r="B42" s="16" t="s">
        <v>70</v>
      </c>
      <c r="C42" s="16" t="s">
        <v>274</v>
      </c>
      <c r="D42" s="17" t="s">
        <v>275</v>
      </c>
      <c r="E42" s="17" t="s">
        <v>276</v>
      </c>
      <c r="F42" s="17" t="s">
        <v>277</v>
      </c>
      <c r="G42" s="17" t="s">
        <v>278</v>
      </c>
      <c r="H42" s="16">
        <v>3</v>
      </c>
      <c r="I42" s="16" t="s">
        <v>104</v>
      </c>
      <c r="J42" s="16" t="s">
        <v>255</v>
      </c>
      <c r="K42" s="16" t="s">
        <v>106</v>
      </c>
    </row>
    <row r="43" spans="1:11" ht="41.85" customHeight="1" x14ac:dyDescent="0.3">
      <c r="A43" s="18" t="s">
        <v>44</v>
      </c>
      <c r="B43" s="18" t="s">
        <v>70</v>
      </c>
      <c r="C43" s="18" t="s">
        <v>279</v>
      </c>
      <c r="D43" s="19" t="s">
        <v>275</v>
      </c>
      <c r="E43" s="19" t="s">
        <v>280</v>
      </c>
      <c r="F43" s="19" t="s">
        <v>281</v>
      </c>
      <c r="G43" s="19" t="s">
        <v>282</v>
      </c>
      <c r="H43" s="18">
        <v>1.5</v>
      </c>
      <c r="I43" s="18" t="s">
        <v>155</v>
      </c>
      <c r="J43" s="18" t="s">
        <v>274</v>
      </c>
      <c r="K43" s="18" t="s">
        <v>106</v>
      </c>
    </row>
    <row r="44" spans="1:11" ht="67.05" customHeight="1" x14ac:dyDescent="0.3">
      <c r="A44" s="16" t="s">
        <v>44</v>
      </c>
      <c r="B44" s="16" t="s">
        <v>70</v>
      </c>
      <c r="C44" s="16" t="s">
        <v>283</v>
      </c>
      <c r="D44" s="17" t="s">
        <v>275</v>
      </c>
      <c r="E44" s="17" t="s">
        <v>284</v>
      </c>
      <c r="F44" s="17" t="s">
        <v>285</v>
      </c>
      <c r="G44" s="17" t="s">
        <v>286</v>
      </c>
      <c r="H44" s="16">
        <v>2.5</v>
      </c>
      <c r="I44" s="16" t="s">
        <v>104</v>
      </c>
      <c r="J44" s="16" t="s">
        <v>279</v>
      </c>
      <c r="K44" s="16" t="s">
        <v>106</v>
      </c>
    </row>
    <row r="45" spans="1:11" ht="67.05" customHeight="1" x14ac:dyDescent="0.3">
      <c r="A45" s="18" t="s">
        <v>44</v>
      </c>
      <c r="B45" s="18" t="s">
        <v>70</v>
      </c>
      <c r="C45" s="18" t="s">
        <v>287</v>
      </c>
      <c r="D45" s="19" t="s">
        <v>121</v>
      </c>
      <c r="E45" s="19" t="s">
        <v>288</v>
      </c>
      <c r="F45" s="19" t="s">
        <v>289</v>
      </c>
      <c r="G45" s="19" t="s">
        <v>290</v>
      </c>
      <c r="H45" s="18">
        <v>2</v>
      </c>
      <c r="I45" s="18" t="s">
        <v>104</v>
      </c>
      <c r="J45" s="18" t="s">
        <v>129</v>
      </c>
      <c r="K45" s="18" t="s">
        <v>106</v>
      </c>
    </row>
    <row r="46" spans="1:11" ht="67.05" customHeight="1" x14ac:dyDescent="0.3">
      <c r="A46" s="16" t="s">
        <v>44</v>
      </c>
      <c r="B46" s="16" t="s">
        <v>72</v>
      </c>
      <c r="C46" s="16" t="s">
        <v>291</v>
      </c>
      <c r="D46" s="17" t="s">
        <v>292</v>
      </c>
      <c r="E46" s="17" t="s">
        <v>293</v>
      </c>
      <c r="F46" s="17" t="s">
        <v>294</v>
      </c>
      <c r="G46" s="17" t="s">
        <v>295</v>
      </c>
      <c r="H46" s="16">
        <v>2</v>
      </c>
      <c r="I46" s="16" t="s">
        <v>104</v>
      </c>
      <c r="J46" s="16" t="s">
        <v>255</v>
      </c>
      <c r="K46" s="16" t="s">
        <v>106</v>
      </c>
    </row>
    <row r="47" spans="1:11" ht="54.45" customHeight="1" x14ac:dyDescent="0.3">
      <c r="A47" s="18" t="s">
        <v>44</v>
      </c>
      <c r="B47" s="18" t="s">
        <v>72</v>
      </c>
      <c r="C47" s="18" t="s">
        <v>296</v>
      </c>
      <c r="D47" s="19" t="s">
        <v>297</v>
      </c>
      <c r="E47" s="19" t="s">
        <v>298</v>
      </c>
      <c r="F47" s="19" t="s">
        <v>299</v>
      </c>
      <c r="G47" s="19" t="s">
        <v>300</v>
      </c>
      <c r="H47" s="18">
        <v>2</v>
      </c>
      <c r="I47" s="18" t="s">
        <v>155</v>
      </c>
      <c r="J47" s="18" t="s">
        <v>238</v>
      </c>
      <c r="K47" s="18" t="s">
        <v>106</v>
      </c>
    </row>
    <row r="48" spans="1:11" ht="54.45" customHeight="1" x14ac:dyDescent="0.3">
      <c r="A48" s="16" t="s">
        <v>44</v>
      </c>
      <c r="B48" s="16" t="s">
        <v>72</v>
      </c>
      <c r="C48" s="16" t="s">
        <v>301</v>
      </c>
      <c r="D48" s="17" t="s">
        <v>297</v>
      </c>
      <c r="E48" s="17" t="s">
        <v>302</v>
      </c>
      <c r="F48" s="17" t="s">
        <v>303</v>
      </c>
      <c r="G48" s="17" t="s">
        <v>304</v>
      </c>
      <c r="H48" s="16">
        <v>2</v>
      </c>
      <c r="I48" s="16" t="s">
        <v>155</v>
      </c>
      <c r="J48" s="16" t="s">
        <v>296</v>
      </c>
      <c r="K48" s="16" t="s">
        <v>106</v>
      </c>
    </row>
    <row r="49" spans="1:11" ht="54.45" customHeight="1" x14ac:dyDescent="0.3">
      <c r="A49" s="18" t="s">
        <v>44</v>
      </c>
      <c r="B49" s="18" t="s">
        <v>72</v>
      </c>
      <c r="C49" s="18" t="s">
        <v>305</v>
      </c>
      <c r="D49" s="19" t="s">
        <v>297</v>
      </c>
      <c r="E49" s="19" t="s">
        <v>306</v>
      </c>
      <c r="F49" s="19" t="s">
        <v>307</v>
      </c>
      <c r="G49" s="19" t="s">
        <v>308</v>
      </c>
      <c r="H49" s="18">
        <v>1.5</v>
      </c>
      <c r="I49" s="18" t="s">
        <v>254</v>
      </c>
      <c r="J49" s="18" t="s">
        <v>301</v>
      </c>
      <c r="K49" s="18" t="s">
        <v>106</v>
      </c>
    </row>
    <row r="50" spans="1:11" ht="54.45" customHeight="1" x14ac:dyDescent="0.3">
      <c r="A50" s="16" t="s">
        <v>44</v>
      </c>
      <c r="B50" s="16" t="s">
        <v>72</v>
      </c>
      <c r="C50" s="16" t="s">
        <v>309</v>
      </c>
      <c r="D50" s="17" t="s">
        <v>310</v>
      </c>
      <c r="E50" s="17" t="s">
        <v>311</v>
      </c>
      <c r="F50" s="17" t="s">
        <v>312</v>
      </c>
      <c r="G50" s="17" t="s">
        <v>313</v>
      </c>
      <c r="H50" s="16">
        <v>1.5</v>
      </c>
      <c r="I50" s="16" t="s">
        <v>254</v>
      </c>
      <c r="J50" s="16" t="s">
        <v>305</v>
      </c>
      <c r="K50" s="16" t="s">
        <v>106</v>
      </c>
    </row>
    <row r="51" spans="1:11" ht="54.45" customHeight="1" x14ac:dyDescent="0.3">
      <c r="A51" s="18" t="s">
        <v>44</v>
      </c>
      <c r="B51" s="18" t="s">
        <v>74</v>
      </c>
      <c r="C51" s="18" t="s">
        <v>314</v>
      </c>
      <c r="D51" s="19" t="s">
        <v>315</v>
      </c>
      <c r="E51" s="19" t="s">
        <v>316</v>
      </c>
      <c r="F51" s="19" t="s">
        <v>317</v>
      </c>
      <c r="G51" s="19" t="s">
        <v>318</v>
      </c>
      <c r="H51" s="18">
        <v>3</v>
      </c>
      <c r="I51" s="18" t="s">
        <v>155</v>
      </c>
      <c r="J51" s="18" t="s">
        <v>291</v>
      </c>
      <c r="K51" s="18" t="s">
        <v>106</v>
      </c>
    </row>
    <row r="52" spans="1:11" ht="54.45" customHeight="1" x14ac:dyDescent="0.3">
      <c r="A52" s="16" t="s">
        <v>44</v>
      </c>
      <c r="B52" s="16" t="s">
        <v>74</v>
      </c>
      <c r="C52" s="16" t="s">
        <v>319</v>
      </c>
      <c r="D52" s="17" t="s">
        <v>320</v>
      </c>
      <c r="E52" s="17" t="s">
        <v>321</v>
      </c>
      <c r="F52" s="17" t="s">
        <v>322</v>
      </c>
      <c r="G52" s="17" t="s">
        <v>323</v>
      </c>
      <c r="H52" s="16">
        <v>2</v>
      </c>
      <c r="I52" s="16" t="s">
        <v>155</v>
      </c>
      <c r="J52" s="16" t="s">
        <v>116</v>
      </c>
      <c r="K52" s="16" t="s">
        <v>106</v>
      </c>
    </row>
    <row r="53" spans="1:11" ht="67.05" customHeight="1" x14ac:dyDescent="0.3">
      <c r="A53" s="18" t="s">
        <v>44</v>
      </c>
      <c r="B53" s="18" t="s">
        <v>74</v>
      </c>
      <c r="C53" s="18" t="s">
        <v>324</v>
      </c>
      <c r="D53" s="19" t="s">
        <v>315</v>
      </c>
      <c r="E53" s="19" t="s">
        <v>325</v>
      </c>
      <c r="F53" s="19" t="s">
        <v>326</v>
      </c>
      <c r="G53" s="19" t="s">
        <v>327</v>
      </c>
      <c r="H53" s="18">
        <v>2.5</v>
      </c>
      <c r="I53" s="18" t="s">
        <v>104</v>
      </c>
      <c r="J53" s="18" t="s">
        <v>309</v>
      </c>
      <c r="K53" s="18" t="s">
        <v>106</v>
      </c>
    </row>
    <row r="54" spans="1:11" ht="54.45" customHeight="1" x14ac:dyDescent="0.3">
      <c r="A54" s="16" t="s">
        <v>44</v>
      </c>
      <c r="B54" s="16" t="s">
        <v>74</v>
      </c>
      <c r="C54" s="16" t="s">
        <v>328</v>
      </c>
      <c r="D54" s="17" t="s">
        <v>329</v>
      </c>
      <c r="E54" s="17" t="s">
        <v>330</v>
      </c>
      <c r="F54" s="17" t="s">
        <v>331</v>
      </c>
      <c r="G54" s="17" t="s">
        <v>332</v>
      </c>
      <c r="H54" s="16">
        <v>1.5</v>
      </c>
      <c r="I54" s="16" t="s">
        <v>155</v>
      </c>
      <c r="J54" s="16" t="s">
        <v>314</v>
      </c>
      <c r="K54" s="16" t="s">
        <v>106</v>
      </c>
    </row>
    <row r="55" spans="1:11" ht="67.05" customHeight="1" x14ac:dyDescent="0.3">
      <c r="A55" s="18" t="s">
        <v>44</v>
      </c>
      <c r="B55" s="18" t="s">
        <v>76</v>
      </c>
      <c r="C55" s="18" t="s">
        <v>333</v>
      </c>
      <c r="D55" s="19" t="s">
        <v>334</v>
      </c>
      <c r="E55" s="19" t="s">
        <v>335</v>
      </c>
      <c r="F55" s="19" t="s">
        <v>336</v>
      </c>
      <c r="G55" s="19" t="s">
        <v>337</v>
      </c>
      <c r="H55" s="18">
        <v>1.5</v>
      </c>
      <c r="I55" s="18" t="s">
        <v>155</v>
      </c>
      <c r="J55" s="18" t="s">
        <v>324</v>
      </c>
      <c r="K55" s="18" t="s">
        <v>106</v>
      </c>
    </row>
    <row r="56" spans="1:11" ht="54.45" customHeight="1" x14ac:dyDescent="0.3">
      <c r="A56" s="16" t="s">
        <v>44</v>
      </c>
      <c r="B56" s="16" t="s">
        <v>76</v>
      </c>
      <c r="C56" s="16" t="s">
        <v>338</v>
      </c>
      <c r="D56" s="17" t="s">
        <v>339</v>
      </c>
      <c r="E56" s="17" t="s">
        <v>340</v>
      </c>
      <c r="F56" s="17" t="s">
        <v>341</v>
      </c>
      <c r="G56" s="17" t="s">
        <v>342</v>
      </c>
      <c r="H56" s="16">
        <v>2.5</v>
      </c>
      <c r="I56" s="16" t="s">
        <v>104</v>
      </c>
      <c r="J56" s="16" t="s">
        <v>324</v>
      </c>
      <c r="K56" s="16" t="s">
        <v>106</v>
      </c>
    </row>
    <row r="57" spans="1:11" ht="54.45" customHeight="1" x14ac:dyDescent="0.3">
      <c r="A57" s="18" t="s">
        <v>44</v>
      </c>
      <c r="B57" s="18" t="s">
        <v>76</v>
      </c>
      <c r="C57" s="18" t="s">
        <v>343</v>
      </c>
      <c r="D57" s="19" t="s">
        <v>344</v>
      </c>
      <c r="E57" s="19" t="s">
        <v>345</v>
      </c>
      <c r="F57" s="19" t="s">
        <v>346</v>
      </c>
      <c r="G57" s="19" t="s">
        <v>347</v>
      </c>
      <c r="H57" s="18">
        <v>2</v>
      </c>
      <c r="I57" s="18" t="s">
        <v>155</v>
      </c>
      <c r="J57" s="18" t="s">
        <v>338</v>
      </c>
      <c r="K57" s="18" t="s">
        <v>106</v>
      </c>
    </row>
    <row r="58" spans="1:11" ht="41.85" customHeight="1" x14ac:dyDescent="0.3">
      <c r="A58" s="16" t="s">
        <v>44</v>
      </c>
      <c r="B58" s="16" t="s">
        <v>76</v>
      </c>
      <c r="C58" s="16" t="s">
        <v>348</v>
      </c>
      <c r="D58" s="17" t="s">
        <v>344</v>
      </c>
      <c r="E58" s="17" t="s">
        <v>349</v>
      </c>
      <c r="F58" s="17" t="s">
        <v>350</v>
      </c>
      <c r="G58" s="17" t="s">
        <v>351</v>
      </c>
      <c r="H58" s="16">
        <v>1.5</v>
      </c>
      <c r="I58" s="16" t="s">
        <v>155</v>
      </c>
      <c r="J58" s="16" t="s">
        <v>343</v>
      </c>
      <c r="K58" s="16" t="s">
        <v>106</v>
      </c>
    </row>
    <row r="59" spans="1:11" ht="54.45" customHeight="1" x14ac:dyDescent="0.3">
      <c r="A59" s="18" t="s">
        <v>44</v>
      </c>
      <c r="B59" s="18" t="s">
        <v>76</v>
      </c>
      <c r="C59" s="18" t="s">
        <v>352</v>
      </c>
      <c r="D59" s="19" t="s">
        <v>315</v>
      </c>
      <c r="E59" s="19" t="s">
        <v>353</v>
      </c>
      <c r="F59" s="19" t="s">
        <v>354</v>
      </c>
      <c r="G59" s="19" t="s">
        <v>355</v>
      </c>
      <c r="H59" s="18">
        <v>1.5</v>
      </c>
      <c r="I59" s="18" t="s">
        <v>104</v>
      </c>
      <c r="J59" s="18" t="s">
        <v>348</v>
      </c>
      <c r="K59" s="18" t="s">
        <v>106</v>
      </c>
    </row>
    <row r="60" spans="1:11" ht="54.45" customHeight="1" x14ac:dyDescent="0.3">
      <c r="A60" s="16" t="s">
        <v>44</v>
      </c>
      <c r="B60" s="16" t="s">
        <v>78</v>
      </c>
      <c r="C60" s="16" t="s">
        <v>356</v>
      </c>
      <c r="D60" s="17" t="s">
        <v>357</v>
      </c>
      <c r="E60" s="17" t="s">
        <v>358</v>
      </c>
      <c r="F60" s="17" t="s">
        <v>359</v>
      </c>
      <c r="G60" s="17" t="s">
        <v>360</v>
      </c>
      <c r="H60" s="16">
        <v>2</v>
      </c>
      <c r="I60" s="16" t="s">
        <v>155</v>
      </c>
      <c r="J60" s="16" t="s">
        <v>352</v>
      </c>
      <c r="K60" s="16" t="s">
        <v>106</v>
      </c>
    </row>
    <row r="61" spans="1:11" ht="54.45" customHeight="1" x14ac:dyDescent="0.3">
      <c r="A61" s="18" t="s">
        <v>44</v>
      </c>
      <c r="B61" s="18" t="s">
        <v>78</v>
      </c>
      <c r="C61" s="18" t="s">
        <v>361</v>
      </c>
      <c r="D61" s="19" t="s">
        <v>357</v>
      </c>
      <c r="E61" s="19" t="s">
        <v>362</v>
      </c>
      <c r="F61" s="19" t="s">
        <v>363</v>
      </c>
      <c r="G61" s="19" t="s">
        <v>364</v>
      </c>
      <c r="H61" s="18">
        <v>2</v>
      </c>
      <c r="I61" s="18" t="s">
        <v>155</v>
      </c>
      <c r="J61" s="18" t="s">
        <v>356</v>
      </c>
      <c r="K61" s="18" t="s">
        <v>106</v>
      </c>
    </row>
    <row r="62" spans="1:11" ht="54.45" customHeight="1" x14ac:dyDescent="0.3">
      <c r="A62" s="16" t="s">
        <v>44</v>
      </c>
      <c r="B62" s="16" t="s">
        <v>78</v>
      </c>
      <c r="C62" s="16" t="s">
        <v>365</v>
      </c>
      <c r="D62" s="17" t="s">
        <v>366</v>
      </c>
      <c r="E62" s="17" t="s">
        <v>367</v>
      </c>
      <c r="F62" s="17" t="s">
        <v>368</v>
      </c>
      <c r="G62" s="17" t="s">
        <v>369</v>
      </c>
      <c r="H62" s="16">
        <v>2</v>
      </c>
      <c r="I62" s="16" t="s">
        <v>104</v>
      </c>
      <c r="J62" s="16" t="s">
        <v>361</v>
      </c>
      <c r="K62" s="16" t="s">
        <v>106</v>
      </c>
    </row>
    <row r="63" spans="1:11" ht="54.45" customHeight="1" x14ac:dyDescent="0.3">
      <c r="A63" s="18" t="s">
        <v>44</v>
      </c>
      <c r="B63" s="18" t="s">
        <v>78</v>
      </c>
      <c r="C63" s="18" t="s">
        <v>370</v>
      </c>
      <c r="D63" s="19" t="s">
        <v>366</v>
      </c>
      <c r="E63" s="19" t="s">
        <v>371</v>
      </c>
      <c r="F63" s="19" t="s">
        <v>372</v>
      </c>
      <c r="G63" s="19" t="s">
        <v>373</v>
      </c>
      <c r="H63" s="18">
        <v>2</v>
      </c>
      <c r="I63" s="18" t="s">
        <v>104</v>
      </c>
      <c r="J63" s="18" t="s">
        <v>365</v>
      </c>
      <c r="K63" s="18" t="s">
        <v>106</v>
      </c>
    </row>
    <row r="64" spans="1:11" ht="41.85" customHeight="1" x14ac:dyDescent="0.3">
      <c r="A64" s="16" t="s">
        <v>44</v>
      </c>
      <c r="B64" s="16" t="s">
        <v>78</v>
      </c>
      <c r="C64" s="16" t="s">
        <v>374</v>
      </c>
      <c r="D64" s="17" t="s">
        <v>375</v>
      </c>
      <c r="E64" s="17" t="s">
        <v>376</v>
      </c>
      <c r="F64" s="17" t="s">
        <v>377</v>
      </c>
      <c r="G64" s="17" t="s">
        <v>378</v>
      </c>
      <c r="H64" s="16">
        <v>1</v>
      </c>
      <c r="I64" s="16" t="s">
        <v>254</v>
      </c>
      <c r="J64" s="16" t="s">
        <v>105</v>
      </c>
      <c r="K64" s="16" t="s">
        <v>106</v>
      </c>
    </row>
    <row r="65" spans="1:11" ht="19.95" customHeight="1" x14ac:dyDescent="0.3">
      <c r="A65" s="31" t="s">
        <v>46</v>
      </c>
      <c r="B65" s="32"/>
      <c r="C65" s="32"/>
      <c r="D65" s="32"/>
      <c r="E65" s="32"/>
      <c r="F65" s="32"/>
      <c r="G65" s="32"/>
      <c r="H65" s="21">
        <f>SUM(H4:H64)</f>
        <v>126</v>
      </c>
      <c r="I65" s="21" t="str">
        <f>COUNTA(C4:C64)&amp;" görev"</f>
        <v>61 görev</v>
      </c>
      <c r="J65" s="20"/>
      <c r="K65" s="20"/>
    </row>
    <row r="67" spans="1:11" ht="13.95" customHeight="1" x14ac:dyDescent="0.3">
      <c r="A67" s="28" t="s">
        <v>379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</row>
    <row r="68" spans="1:11" ht="25.95" customHeight="1" x14ac:dyDescent="0.3">
      <c r="A68" s="28" t="s">
        <v>380</v>
      </c>
      <c r="B68" s="29"/>
      <c r="C68" s="29"/>
      <c r="D68" s="29"/>
      <c r="E68" s="29"/>
      <c r="F68" s="29"/>
      <c r="G68" s="29"/>
      <c r="H68" s="29"/>
      <c r="I68" s="29"/>
      <c r="J68" s="29"/>
      <c r="K68" s="29"/>
    </row>
    <row r="69" spans="1:11" ht="39" customHeight="1" x14ac:dyDescent="0.3">
      <c r="A69" s="28" t="s">
        <v>381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</row>
    <row r="70" spans="1:11" ht="13.95" customHeight="1" x14ac:dyDescent="0.3">
      <c r="A70" s="28" t="s">
        <v>382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</row>
  </sheetData>
  <autoFilter ref="A3:K64" xr:uid="{00000000-0009-0000-0000-000001000000}"/>
  <mergeCells count="7">
    <mergeCell ref="A1:K1"/>
    <mergeCell ref="A70:K70"/>
    <mergeCell ref="A67:K67"/>
    <mergeCell ref="A69:K69"/>
    <mergeCell ref="A2:K2"/>
    <mergeCell ref="A68:K68"/>
    <mergeCell ref="A65:G65"/>
  </mergeCells>
  <conditionalFormatting sqref="I4:I64">
    <cfRule type="cellIs" dxfId="7" priority="1" operator="equal">
      <formula>"Kritik"</formula>
    </cfRule>
    <cfRule type="cellIs" dxfId="6" priority="2" operator="equal">
      <formula>"Yüksek"</formula>
    </cfRule>
  </conditionalFormatting>
  <conditionalFormatting sqref="K4:K64">
    <cfRule type="cellIs" dxfId="5" priority="3" operator="equal">
      <formula>"Tamamlandı"</formula>
    </cfRule>
    <cfRule type="cellIs" dxfId="4" priority="4" operator="equal">
      <formula>"Bloke"</formula>
    </cfRule>
    <cfRule type="cellIs" dxfId="3" priority="5" operator="equal">
      <formula>"Devam Ediyor"</formula>
    </cfRule>
  </conditionalFormatting>
  <dataValidations count="1">
    <dataValidation type="list" allowBlank="1" promptTitle="Durum" prompt="Yapılacak / Devam Ediyor / Tamamlandı / Bloke" sqref="K4:K64" xr:uid="{00000000-0002-0000-0100-000000000000}">
      <formula1>"Yapılacak,Devam Ediyor,Tamamlandı,Bloke"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F31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26" customWidth="1"/>
    <col min="3" max="3" width="16" customWidth="1"/>
    <col min="4" max="4" width="52" customWidth="1"/>
    <col min="5" max="5" width="40" customWidth="1"/>
    <col min="6" max="6" width="12" customWidth="1"/>
  </cols>
  <sheetData>
    <row r="1" spans="1:6" ht="30" customHeight="1" x14ac:dyDescent="0.3">
      <c r="A1" s="33" t="s">
        <v>383</v>
      </c>
      <c r="B1" s="29"/>
      <c r="C1" s="29"/>
      <c r="D1" s="29"/>
      <c r="E1" s="29"/>
      <c r="F1" s="29"/>
    </row>
    <row r="2" spans="1:6" ht="24" customHeight="1" x14ac:dyDescent="0.3">
      <c r="A2" s="30" t="s">
        <v>384</v>
      </c>
      <c r="B2" s="29"/>
      <c r="C2" s="29"/>
      <c r="D2" s="29"/>
      <c r="E2" s="29"/>
      <c r="F2" s="29"/>
    </row>
    <row r="3" spans="1:6" ht="31.95" customHeight="1" x14ac:dyDescent="0.3">
      <c r="A3" s="3" t="s">
        <v>385</v>
      </c>
      <c r="B3" s="3" t="s">
        <v>386</v>
      </c>
      <c r="C3" s="3" t="s">
        <v>387</v>
      </c>
      <c r="D3" s="3" t="s">
        <v>388</v>
      </c>
      <c r="E3" s="3" t="s">
        <v>389</v>
      </c>
      <c r="F3" s="3" t="s">
        <v>50</v>
      </c>
    </row>
    <row r="4" spans="1:6" ht="16.649999999999999" customHeight="1" x14ac:dyDescent="0.3">
      <c r="A4" s="16">
        <v>1</v>
      </c>
      <c r="B4" s="17" t="s">
        <v>390</v>
      </c>
      <c r="C4" s="16" t="s">
        <v>391</v>
      </c>
      <c r="D4" s="17" t="s">
        <v>392</v>
      </c>
      <c r="E4" s="17" t="s">
        <v>393</v>
      </c>
      <c r="F4" s="16" t="s">
        <v>200</v>
      </c>
    </row>
    <row r="5" spans="1:6" ht="16.649999999999999" customHeight="1" x14ac:dyDescent="0.3">
      <c r="A5" s="18">
        <v>2</v>
      </c>
      <c r="B5" s="19" t="s">
        <v>394</v>
      </c>
      <c r="C5" s="18" t="s">
        <v>391</v>
      </c>
      <c r="D5" s="19" t="s">
        <v>395</v>
      </c>
      <c r="E5" s="19" t="s">
        <v>396</v>
      </c>
      <c r="F5" s="18" t="s">
        <v>186</v>
      </c>
    </row>
    <row r="6" spans="1:6" ht="16.649999999999999" customHeight="1" x14ac:dyDescent="0.3">
      <c r="A6" s="16">
        <v>3</v>
      </c>
      <c r="B6" s="17" t="s">
        <v>397</v>
      </c>
      <c r="C6" s="16" t="s">
        <v>391</v>
      </c>
      <c r="D6" s="17" t="s">
        <v>398</v>
      </c>
      <c r="E6" s="17" t="s">
        <v>399</v>
      </c>
      <c r="F6" s="16" t="s">
        <v>186</v>
      </c>
    </row>
    <row r="7" spans="1:6" ht="16.649999999999999" customHeight="1" x14ac:dyDescent="0.3">
      <c r="A7" s="18">
        <v>4</v>
      </c>
      <c r="B7" s="19" t="s">
        <v>400</v>
      </c>
      <c r="C7" s="18" t="s">
        <v>391</v>
      </c>
      <c r="D7" s="19" t="s">
        <v>401</v>
      </c>
      <c r="E7" s="19" t="s">
        <v>402</v>
      </c>
      <c r="F7" s="18" t="s">
        <v>190</v>
      </c>
    </row>
    <row r="8" spans="1:6" ht="16.649999999999999" customHeight="1" x14ac:dyDescent="0.3">
      <c r="A8" s="16">
        <v>5</v>
      </c>
      <c r="B8" s="17" t="s">
        <v>403</v>
      </c>
      <c r="C8" s="16" t="s">
        <v>391</v>
      </c>
      <c r="D8" s="17" t="s">
        <v>404</v>
      </c>
      <c r="E8" s="17" t="s">
        <v>402</v>
      </c>
      <c r="F8" s="16" t="s">
        <v>190</v>
      </c>
    </row>
    <row r="9" spans="1:6" ht="16.649999999999999" customHeight="1" x14ac:dyDescent="0.3">
      <c r="A9" s="18">
        <v>6</v>
      </c>
      <c r="B9" s="19" t="s">
        <v>405</v>
      </c>
      <c r="C9" s="18" t="s">
        <v>391</v>
      </c>
      <c r="D9" s="19" t="s">
        <v>406</v>
      </c>
      <c r="E9" s="19" t="s">
        <v>402</v>
      </c>
      <c r="F9" s="18" t="s">
        <v>190</v>
      </c>
    </row>
    <row r="10" spans="1:6" ht="16.649999999999999" customHeight="1" x14ac:dyDescent="0.3">
      <c r="A10" s="16">
        <v>7</v>
      </c>
      <c r="B10" s="17" t="s">
        <v>407</v>
      </c>
      <c r="C10" s="16" t="s">
        <v>391</v>
      </c>
      <c r="D10" s="17" t="s">
        <v>408</v>
      </c>
      <c r="E10" s="17" t="s">
        <v>409</v>
      </c>
      <c r="F10" s="16" t="s">
        <v>190</v>
      </c>
    </row>
    <row r="11" spans="1:6" ht="16.649999999999999" customHeight="1" x14ac:dyDescent="0.3">
      <c r="A11" s="18">
        <v>8</v>
      </c>
      <c r="B11" s="19" t="s">
        <v>410</v>
      </c>
      <c r="C11" s="18" t="s">
        <v>411</v>
      </c>
      <c r="D11" s="19" t="s">
        <v>412</v>
      </c>
      <c r="E11" s="19" t="s">
        <v>413</v>
      </c>
      <c r="F11" s="18" t="s">
        <v>204</v>
      </c>
    </row>
    <row r="12" spans="1:6" ht="16.649999999999999" customHeight="1" x14ac:dyDescent="0.3">
      <c r="A12" s="16">
        <v>9</v>
      </c>
      <c r="B12" s="17" t="s">
        <v>414</v>
      </c>
      <c r="C12" s="16" t="s">
        <v>415</v>
      </c>
      <c r="D12" s="17" t="s">
        <v>416</v>
      </c>
      <c r="E12" s="17" t="s">
        <v>417</v>
      </c>
      <c r="F12" s="16" t="s">
        <v>209</v>
      </c>
    </row>
    <row r="13" spans="1:6" ht="16.649999999999999" customHeight="1" x14ac:dyDescent="0.3">
      <c r="A13" s="18">
        <v>10</v>
      </c>
      <c r="B13" s="19" t="s">
        <v>418</v>
      </c>
      <c r="C13" s="18" t="s">
        <v>419</v>
      </c>
      <c r="D13" s="19" t="s">
        <v>420</v>
      </c>
      <c r="E13" s="19" t="s">
        <v>421</v>
      </c>
      <c r="F13" s="18" t="s">
        <v>217</v>
      </c>
    </row>
    <row r="14" spans="1:6" ht="16.649999999999999" customHeight="1" x14ac:dyDescent="0.3">
      <c r="A14" s="16">
        <v>11</v>
      </c>
      <c r="B14" s="17" t="s">
        <v>422</v>
      </c>
      <c r="C14" s="16" t="s">
        <v>423</v>
      </c>
      <c r="D14" s="17" t="s">
        <v>424</v>
      </c>
      <c r="E14" s="17" t="s">
        <v>425</v>
      </c>
      <c r="F14" s="16" t="s">
        <v>213</v>
      </c>
    </row>
    <row r="15" spans="1:6" ht="16.649999999999999" customHeight="1" x14ac:dyDescent="0.3">
      <c r="A15" s="18">
        <v>12</v>
      </c>
      <c r="B15" s="19" t="s">
        <v>426</v>
      </c>
      <c r="C15" s="18" t="s">
        <v>427</v>
      </c>
      <c r="D15" s="19" t="s">
        <v>428</v>
      </c>
      <c r="E15" s="19" t="s">
        <v>429</v>
      </c>
      <c r="F15" s="18" t="s">
        <v>221</v>
      </c>
    </row>
    <row r="16" spans="1:6" ht="16.649999999999999" customHeight="1" x14ac:dyDescent="0.3">
      <c r="A16" s="16">
        <v>13</v>
      </c>
      <c r="B16" s="17" t="s">
        <v>430</v>
      </c>
      <c r="C16" s="16" t="s">
        <v>427</v>
      </c>
      <c r="D16" s="17" t="s">
        <v>431</v>
      </c>
      <c r="E16" s="17" t="s">
        <v>432</v>
      </c>
      <c r="F16" s="16" t="s">
        <v>226</v>
      </c>
    </row>
    <row r="17" spans="1:6" ht="16.649999999999999" customHeight="1" x14ac:dyDescent="0.3">
      <c r="A17" s="18">
        <v>14</v>
      </c>
      <c r="B17" s="19" t="s">
        <v>433</v>
      </c>
      <c r="C17" s="18" t="s">
        <v>391</v>
      </c>
      <c r="D17" s="19" t="s">
        <v>434</v>
      </c>
      <c r="E17" s="19" t="s">
        <v>435</v>
      </c>
      <c r="F17" s="18" t="s">
        <v>230</v>
      </c>
    </row>
    <row r="18" spans="1:6" ht="16.649999999999999" customHeight="1" x14ac:dyDescent="0.3">
      <c r="A18" s="16">
        <v>15</v>
      </c>
      <c r="B18" s="17" t="s">
        <v>436</v>
      </c>
      <c r="C18" s="16" t="s">
        <v>419</v>
      </c>
      <c r="D18" s="17" t="s">
        <v>437</v>
      </c>
      <c r="E18" s="17" t="s">
        <v>438</v>
      </c>
      <c r="F18" s="16" t="s">
        <v>234</v>
      </c>
    </row>
    <row r="19" spans="1:6" ht="16.649999999999999" customHeight="1" x14ac:dyDescent="0.3">
      <c r="A19" s="18">
        <v>16</v>
      </c>
      <c r="B19" s="19" t="s">
        <v>439</v>
      </c>
      <c r="C19" s="18" t="s">
        <v>440</v>
      </c>
      <c r="D19" s="19" t="s">
        <v>441</v>
      </c>
      <c r="E19" s="19" t="s">
        <v>442</v>
      </c>
      <c r="F19" s="18" t="s">
        <v>238</v>
      </c>
    </row>
    <row r="20" spans="1:6" ht="16.649999999999999" customHeight="1" x14ac:dyDescent="0.3">
      <c r="A20" s="16">
        <v>17</v>
      </c>
      <c r="B20" s="17" t="s">
        <v>443</v>
      </c>
      <c r="C20" s="16" t="s">
        <v>419</v>
      </c>
      <c r="D20" s="17" t="s">
        <v>444</v>
      </c>
      <c r="E20" s="17" t="s">
        <v>445</v>
      </c>
      <c r="F20" s="16" t="s">
        <v>246</v>
      </c>
    </row>
    <row r="21" spans="1:6" ht="16.649999999999999" customHeight="1" x14ac:dyDescent="0.3">
      <c r="A21" s="18">
        <v>18</v>
      </c>
      <c r="B21" s="19" t="s">
        <v>446</v>
      </c>
      <c r="C21" s="18" t="s">
        <v>391</v>
      </c>
      <c r="D21" s="19" t="s">
        <v>447</v>
      </c>
      <c r="E21" s="19" t="s">
        <v>448</v>
      </c>
      <c r="F21" s="18" t="s">
        <v>242</v>
      </c>
    </row>
    <row r="22" spans="1:6" ht="16.649999999999999" customHeight="1" x14ac:dyDescent="0.3">
      <c r="A22" s="16">
        <v>19</v>
      </c>
      <c r="B22" s="17" t="s">
        <v>449</v>
      </c>
      <c r="C22" s="16" t="s">
        <v>419</v>
      </c>
      <c r="D22" s="17" t="s">
        <v>450</v>
      </c>
      <c r="E22" s="17" t="s">
        <v>451</v>
      </c>
      <c r="F22" s="16" t="s">
        <v>242</v>
      </c>
    </row>
    <row r="23" spans="1:6" ht="16.649999999999999" customHeight="1" x14ac:dyDescent="0.3">
      <c r="A23" s="18">
        <v>20</v>
      </c>
      <c r="B23" s="19" t="s">
        <v>452</v>
      </c>
      <c r="C23" s="18" t="s">
        <v>391</v>
      </c>
      <c r="D23" s="19" t="s">
        <v>453</v>
      </c>
      <c r="E23" s="19" t="s">
        <v>454</v>
      </c>
      <c r="F23" s="18" t="s">
        <v>246</v>
      </c>
    </row>
    <row r="24" spans="1:6" ht="16.649999999999999" customHeight="1" x14ac:dyDescent="0.3">
      <c r="A24" s="16">
        <v>21</v>
      </c>
      <c r="B24" s="17" t="s">
        <v>455</v>
      </c>
      <c r="C24" s="16" t="s">
        <v>419</v>
      </c>
      <c r="D24" s="17" t="s">
        <v>456</v>
      </c>
      <c r="E24" s="17" t="s">
        <v>457</v>
      </c>
      <c r="F24" s="16" t="s">
        <v>250</v>
      </c>
    </row>
    <row r="25" spans="1:6" ht="16.649999999999999" customHeight="1" x14ac:dyDescent="0.3">
      <c r="A25" s="18">
        <v>22</v>
      </c>
      <c r="B25" s="19" t="s">
        <v>458</v>
      </c>
      <c r="C25" s="18" t="s">
        <v>459</v>
      </c>
      <c r="D25" s="19" t="s">
        <v>460</v>
      </c>
      <c r="E25" s="19" t="s">
        <v>461</v>
      </c>
      <c r="F25" s="18" t="s">
        <v>255</v>
      </c>
    </row>
    <row r="26" spans="1:6" ht="16.649999999999999" customHeight="1" x14ac:dyDescent="0.3">
      <c r="A26" s="16">
        <v>23</v>
      </c>
      <c r="B26" s="17" t="s">
        <v>462</v>
      </c>
      <c r="C26" s="16" t="s">
        <v>391</v>
      </c>
      <c r="D26" s="17" t="s">
        <v>463</v>
      </c>
      <c r="E26" s="17" t="s">
        <v>464</v>
      </c>
      <c r="F26" s="16" t="s">
        <v>260</v>
      </c>
    </row>
    <row r="27" spans="1:6" ht="16.649999999999999" customHeight="1" x14ac:dyDescent="0.3">
      <c r="A27" s="18">
        <v>24</v>
      </c>
      <c r="B27" s="19" t="s">
        <v>465</v>
      </c>
      <c r="C27" s="18" t="s">
        <v>419</v>
      </c>
      <c r="D27" s="19" t="s">
        <v>466</v>
      </c>
      <c r="E27" s="19" t="s">
        <v>467</v>
      </c>
      <c r="F27" s="18" t="s">
        <v>265</v>
      </c>
    </row>
    <row r="28" spans="1:6" ht="16.649999999999999" customHeight="1" x14ac:dyDescent="0.3">
      <c r="A28" s="16">
        <v>25</v>
      </c>
      <c r="B28" s="17" t="s">
        <v>9</v>
      </c>
      <c r="C28" s="16" t="s">
        <v>468</v>
      </c>
      <c r="D28" s="17" t="s">
        <v>469</v>
      </c>
      <c r="E28" s="17" t="s">
        <v>470</v>
      </c>
      <c r="F28" s="16" t="s">
        <v>269</v>
      </c>
    </row>
    <row r="29" spans="1:6" ht="16.649999999999999" customHeight="1" x14ac:dyDescent="0.3">
      <c r="A29" s="18">
        <v>26</v>
      </c>
      <c r="B29" s="19" t="s">
        <v>471</v>
      </c>
      <c r="C29" s="18" t="s">
        <v>391</v>
      </c>
      <c r="D29" s="19" t="s">
        <v>472</v>
      </c>
      <c r="E29" s="19" t="s">
        <v>473</v>
      </c>
      <c r="F29" s="18" t="s">
        <v>274</v>
      </c>
    </row>
    <row r="30" spans="1:6" ht="16.649999999999999" customHeight="1" x14ac:dyDescent="0.3">
      <c r="A30" s="16">
        <v>27</v>
      </c>
      <c r="B30" s="17" t="s">
        <v>474</v>
      </c>
      <c r="C30" s="16" t="s">
        <v>475</v>
      </c>
      <c r="D30" s="17" t="s">
        <v>476</v>
      </c>
      <c r="E30" s="17" t="s">
        <v>477</v>
      </c>
      <c r="F30" s="16" t="s">
        <v>283</v>
      </c>
    </row>
    <row r="31" spans="1:6" ht="16.649999999999999" customHeight="1" x14ac:dyDescent="0.3">
      <c r="A31" s="18">
        <v>28</v>
      </c>
      <c r="B31" s="19" t="s">
        <v>478</v>
      </c>
      <c r="C31" s="18" t="s">
        <v>391</v>
      </c>
      <c r="D31" s="19" t="s">
        <v>479</v>
      </c>
      <c r="E31" s="19" t="s">
        <v>480</v>
      </c>
      <c r="F31" s="18" t="s">
        <v>333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55A11"/>
  </sheetPr>
  <dimension ref="A1:G32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22" customWidth="1"/>
    <col min="3" max="3" width="26" customWidth="1"/>
    <col min="4" max="4" width="20" customWidth="1"/>
    <col min="5" max="5" width="56" customWidth="1"/>
    <col min="6" max="6" width="12" customWidth="1"/>
    <col min="7" max="7" width="14" customWidth="1"/>
  </cols>
  <sheetData>
    <row r="1" spans="1:7" ht="30" customHeight="1" x14ac:dyDescent="0.3">
      <c r="A1" s="33" t="s">
        <v>481</v>
      </c>
      <c r="B1" s="29"/>
      <c r="C1" s="29"/>
      <c r="D1" s="29"/>
      <c r="E1" s="29"/>
      <c r="F1" s="29"/>
      <c r="G1" s="29"/>
    </row>
    <row r="2" spans="1:7" ht="24" customHeight="1" x14ac:dyDescent="0.3">
      <c r="A2" s="30" t="s">
        <v>482</v>
      </c>
      <c r="B2" s="29"/>
      <c r="C2" s="29"/>
      <c r="D2" s="29"/>
      <c r="E2" s="29"/>
      <c r="F2" s="29"/>
      <c r="G2" s="29"/>
    </row>
    <row r="3" spans="1:7" ht="31.95" customHeight="1" x14ac:dyDescent="0.3">
      <c r="A3" s="3" t="s">
        <v>483</v>
      </c>
      <c r="B3" s="3" t="s">
        <v>484</v>
      </c>
      <c r="C3" s="3" t="s">
        <v>485</v>
      </c>
      <c r="D3" s="3" t="s">
        <v>486</v>
      </c>
      <c r="E3" s="3" t="s">
        <v>487</v>
      </c>
      <c r="F3" s="3" t="s">
        <v>50</v>
      </c>
      <c r="G3" s="3" t="s">
        <v>96</v>
      </c>
    </row>
    <row r="4" spans="1:7" ht="41.85" customHeight="1" x14ac:dyDescent="0.3">
      <c r="A4" s="16" t="s">
        <v>488</v>
      </c>
      <c r="B4" s="17" t="s">
        <v>489</v>
      </c>
      <c r="C4" s="17" t="s">
        <v>490</v>
      </c>
      <c r="D4" s="16" t="s">
        <v>491</v>
      </c>
      <c r="E4" s="17" t="s">
        <v>492</v>
      </c>
      <c r="F4" s="16" t="s">
        <v>99</v>
      </c>
      <c r="G4" s="16" t="s">
        <v>104</v>
      </c>
    </row>
    <row r="5" spans="1:7" ht="41.85" customHeight="1" x14ac:dyDescent="0.3">
      <c r="A5" s="18" t="s">
        <v>488</v>
      </c>
      <c r="B5" s="19" t="s">
        <v>489</v>
      </c>
      <c r="C5" s="19" t="s">
        <v>493</v>
      </c>
      <c r="D5" s="18" t="s">
        <v>491</v>
      </c>
      <c r="E5" s="19" t="s">
        <v>494</v>
      </c>
      <c r="F5" s="18" t="s">
        <v>99</v>
      </c>
      <c r="G5" s="18" t="s">
        <v>104</v>
      </c>
    </row>
    <row r="6" spans="1:7" ht="29.25" customHeight="1" x14ac:dyDescent="0.3">
      <c r="A6" s="16" t="s">
        <v>488</v>
      </c>
      <c r="B6" s="17" t="s">
        <v>489</v>
      </c>
      <c r="C6" s="17" t="s">
        <v>495</v>
      </c>
      <c r="D6" s="16" t="s">
        <v>491</v>
      </c>
      <c r="E6" s="17" t="s">
        <v>496</v>
      </c>
      <c r="F6" s="16" t="s">
        <v>99</v>
      </c>
      <c r="G6" s="16" t="s">
        <v>104</v>
      </c>
    </row>
    <row r="7" spans="1:7" ht="29.25" customHeight="1" x14ac:dyDescent="0.3">
      <c r="A7" s="18" t="s">
        <v>488</v>
      </c>
      <c r="B7" s="19" t="s">
        <v>489</v>
      </c>
      <c r="C7" s="19" t="s">
        <v>497</v>
      </c>
      <c r="D7" s="18" t="s">
        <v>491</v>
      </c>
      <c r="E7" s="19" t="s">
        <v>498</v>
      </c>
      <c r="F7" s="18" t="s">
        <v>99</v>
      </c>
      <c r="G7" s="18" t="s">
        <v>104</v>
      </c>
    </row>
    <row r="8" spans="1:7" ht="41.85" customHeight="1" x14ac:dyDescent="0.3">
      <c r="A8" s="16" t="s">
        <v>488</v>
      </c>
      <c r="B8" s="17" t="s">
        <v>489</v>
      </c>
      <c r="C8" s="17" t="s">
        <v>499</v>
      </c>
      <c r="D8" s="16" t="s">
        <v>491</v>
      </c>
      <c r="E8" s="17" t="s">
        <v>500</v>
      </c>
      <c r="F8" s="16" t="s">
        <v>99</v>
      </c>
      <c r="G8" s="16" t="s">
        <v>155</v>
      </c>
    </row>
    <row r="9" spans="1:7" ht="29.25" customHeight="1" x14ac:dyDescent="0.3">
      <c r="A9" s="18" t="s">
        <v>488</v>
      </c>
      <c r="B9" s="19" t="s">
        <v>489</v>
      </c>
      <c r="C9" s="19" t="s">
        <v>501</v>
      </c>
      <c r="D9" s="22" t="s">
        <v>502</v>
      </c>
      <c r="E9" s="19" t="s">
        <v>503</v>
      </c>
      <c r="F9" s="18" t="s">
        <v>99</v>
      </c>
      <c r="G9" s="18" t="s">
        <v>254</v>
      </c>
    </row>
    <row r="10" spans="1:7" ht="29.25" customHeight="1" x14ac:dyDescent="0.3">
      <c r="A10" s="16" t="s">
        <v>488</v>
      </c>
      <c r="B10" s="17" t="s">
        <v>489</v>
      </c>
      <c r="C10" s="17" t="s">
        <v>504</v>
      </c>
      <c r="D10" s="22" t="s">
        <v>502</v>
      </c>
      <c r="E10" s="17" t="s">
        <v>505</v>
      </c>
      <c r="F10" s="16" t="s">
        <v>99</v>
      </c>
      <c r="G10" s="16" t="s">
        <v>254</v>
      </c>
    </row>
    <row r="11" spans="1:7" ht="41.85" customHeight="1" x14ac:dyDescent="0.3">
      <c r="A11" s="18" t="s">
        <v>488</v>
      </c>
      <c r="B11" s="19" t="s">
        <v>489</v>
      </c>
      <c r="C11" s="19" t="s">
        <v>506</v>
      </c>
      <c r="D11" s="23" t="s">
        <v>507</v>
      </c>
      <c r="E11" s="19" t="s">
        <v>508</v>
      </c>
      <c r="F11" s="18" t="s">
        <v>99</v>
      </c>
      <c r="G11" s="18" t="s">
        <v>104</v>
      </c>
    </row>
    <row r="12" spans="1:7" ht="41.85" customHeight="1" x14ac:dyDescent="0.3">
      <c r="A12" s="16" t="s">
        <v>488</v>
      </c>
      <c r="B12" s="17" t="s">
        <v>509</v>
      </c>
      <c r="C12" s="17" t="s">
        <v>510</v>
      </c>
      <c r="D12" s="23" t="s">
        <v>507</v>
      </c>
      <c r="E12" s="17" t="s">
        <v>511</v>
      </c>
      <c r="F12" s="16" t="s">
        <v>107</v>
      </c>
      <c r="G12" s="16" t="s">
        <v>104</v>
      </c>
    </row>
    <row r="13" spans="1:7" ht="41.85" customHeight="1" x14ac:dyDescent="0.3">
      <c r="A13" s="18" t="s">
        <v>488</v>
      </c>
      <c r="B13" s="19" t="s">
        <v>509</v>
      </c>
      <c r="C13" s="19" t="s">
        <v>512</v>
      </c>
      <c r="D13" s="18" t="s">
        <v>491</v>
      </c>
      <c r="E13" s="19" t="s">
        <v>513</v>
      </c>
      <c r="F13" s="18" t="s">
        <v>107</v>
      </c>
      <c r="G13" s="18" t="s">
        <v>104</v>
      </c>
    </row>
    <row r="14" spans="1:7" ht="41.85" customHeight="1" x14ac:dyDescent="0.3">
      <c r="A14" s="16" t="s">
        <v>488</v>
      </c>
      <c r="B14" s="17" t="s">
        <v>509</v>
      </c>
      <c r="C14" s="17" t="s">
        <v>514</v>
      </c>
      <c r="D14" s="16" t="s">
        <v>491</v>
      </c>
      <c r="E14" s="17" t="s">
        <v>515</v>
      </c>
      <c r="F14" s="16" t="s">
        <v>107</v>
      </c>
      <c r="G14" s="16" t="s">
        <v>104</v>
      </c>
    </row>
    <row r="15" spans="1:7" ht="41.85" customHeight="1" x14ac:dyDescent="0.3">
      <c r="A15" s="18" t="s">
        <v>488</v>
      </c>
      <c r="B15" s="19" t="s">
        <v>509</v>
      </c>
      <c r="C15" s="19" t="s">
        <v>516</v>
      </c>
      <c r="D15" s="18" t="s">
        <v>491</v>
      </c>
      <c r="E15" s="19" t="s">
        <v>517</v>
      </c>
      <c r="F15" s="18" t="s">
        <v>107</v>
      </c>
      <c r="G15" s="18" t="s">
        <v>104</v>
      </c>
    </row>
    <row r="16" spans="1:7" ht="41.85" customHeight="1" x14ac:dyDescent="0.3">
      <c r="A16" s="16" t="s">
        <v>518</v>
      </c>
      <c r="B16" s="17" t="s">
        <v>519</v>
      </c>
      <c r="C16" s="17" t="s">
        <v>520</v>
      </c>
      <c r="D16" s="16" t="s">
        <v>491</v>
      </c>
      <c r="E16" s="17" t="s">
        <v>521</v>
      </c>
      <c r="F16" s="16" t="s">
        <v>107</v>
      </c>
      <c r="G16" s="16" t="s">
        <v>104</v>
      </c>
    </row>
    <row r="17" spans="1:7" ht="67.05" customHeight="1" x14ac:dyDescent="0.3">
      <c r="A17" s="18" t="s">
        <v>518</v>
      </c>
      <c r="B17" s="19" t="s">
        <v>522</v>
      </c>
      <c r="C17" s="19" t="s">
        <v>520</v>
      </c>
      <c r="D17" s="18" t="s">
        <v>491</v>
      </c>
      <c r="E17" s="19" t="s">
        <v>523</v>
      </c>
      <c r="F17" s="18" t="s">
        <v>111</v>
      </c>
      <c r="G17" s="18" t="s">
        <v>155</v>
      </c>
    </row>
    <row r="18" spans="1:7" ht="29.25" customHeight="1" x14ac:dyDescent="0.3">
      <c r="A18" s="16" t="s">
        <v>488</v>
      </c>
      <c r="B18" s="17" t="s">
        <v>524</v>
      </c>
      <c r="C18" s="17" t="s">
        <v>525</v>
      </c>
      <c r="D18" s="16" t="s">
        <v>491</v>
      </c>
      <c r="E18" s="17" t="s">
        <v>526</v>
      </c>
      <c r="F18" s="16" t="s">
        <v>141</v>
      </c>
      <c r="G18" s="16" t="s">
        <v>155</v>
      </c>
    </row>
    <row r="19" spans="1:7" ht="29.25" customHeight="1" x14ac:dyDescent="0.3">
      <c r="A19" s="18" t="s">
        <v>488</v>
      </c>
      <c r="B19" s="19" t="s">
        <v>524</v>
      </c>
      <c r="C19" s="19" t="s">
        <v>527</v>
      </c>
      <c r="D19" s="18" t="s">
        <v>491</v>
      </c>
      <c r="E19" s="19" t="s">
        <v>528</v>
      </c>
      <c r="F19" s="18" t="s">
        <v>141</v>
      </c>
      <c r="G19" s="18" t="s">
        <v>155</v>
      </c>
    </row>
    <row r="20" spans="1:7" ht="29.25" customHeight="1" x14ac:dyDescent="0.3">
      <c r="A20" s="16" t="s">
        <v>488</v>
      </c>
      <c r="B20" s="17" t="s">
        <v>529</v>
      </c>
      <c r="C20" s="17" t="s">
        <v>493</v>
      </c>
      <c r="D20" s="23" t="s">
        <v>507</v>
      </c>
      <c r="E20" s="17" t="s">
        <v>530</v>
      </c>
      <c r="F20" s="16" t="s">
        <v>99</v>
      </c>
      <c r="G20" s="16" t="s">
        <v>254</v>
      </c>
    </row>
    <row r="21" spans="1:7" ht="54.45" customHeight="1" x14ac:dyDescent="0.3">
      <c r="A21" s="18" t="s">
        <v>531</v>
      </c>
      <c r="B21" s="19" t="s">
        <v>532</v>
      </c>
      <c r="C21" s="19" t="s">
        <v>533</v>
      </c>
      <c r="D21" s="24" t="s">
        <v>534</v>
      </c>
      <c r="E21" s="19" t="s">
        <v>535</v>
      </c>
      <c r="F21" s="18" t="s">
        <v>116</v>
      </c>
      <c r="G21" s="18" t="s">
        <v>104</v>
      </c>
    </row>
    <row r="22" spans="1:7" ht="54.45" customHeight="1" x14ac:dyDescent="0.3">
      <c r="A22" s="16" t="s">
        <v>531</v>
      </c>
      <c r="B22" s="17" t="s">
        <v>532</v>
      </c>
      <c r="C22" s="17" t="s">
        <v>536</v>
      </c>
      <c r="D22" s="24" t="s">
        <v>534</v>
      </c>
      <c r="E22" s="17" t="s">
        <v>537</v>
      </c>
      <c r="F22" s="16" t="s">
        <v>133</v>
      </c>
      <c r="G22" s="16" t="s">
        <v>104</v>
      </c>
    </row>
    <row r="23" spans="1:7" ht="41.85" customHeight="1" x14ac:dyDescent="0.3">
      <c r="A23" s="18" t="s">
        <v>531</v>
      </c>
      <c r="B23" s="19" t="s">
        <v>538</v>
      </c>
      <c r="C23" s="19" t="s">
        <v>539</v>
      </c>
      <c r="D23" s="24" t="s">
        <v>534</v>
      </c>
      <c r="E23" s="19" t="s">
        <v>540</v>
      </c>
      <c r="F23" s="18" t="s">
        <v>141</v>
      </c>
      <c r="G23" s="18" t="s">
        <v>104</v>
      </c>
    </row>
    <row r="24" spans="1:7" ht="29.25" customHeight="1" x14ac:dyDescent="0.3">
      <c r="A24" s="16" t="s">
        <v>531</v>
      </c>
      <c r="B24" s="17" t="s">
        <v>538</v>
      </c>
      <c r="C24" s="17" t="s">
        <v>541</v>
      </c>
      <c r="D24" s="24" t="s">
        <v>534</v>
      </c>
      <c r="E24" s="17" t="s">
        <v>542</v>
      </c>
      <c r="F24" s="16" t="s">
        <v>150</v>
      </c>
      <c r="G24" s="16" t="s">
        <v>155</v>
      </c>
    </row>
    <row r="25" spans="1:7" ht="41.85" customHeight="1" x14ac:dyDescent="0.3">
      <c r="A25" s="18" t="s">
        <v>531</v>
      </c>
      <c r="B25" s="19" t="s">
        <v>538</v>
      </c>
      <c r="C25" s="19" t="s">
        <v>543</v>
      </c>
      <c r="D25" s="24" t="s">
        <v>534</v>
      </c>
      <c r="E25" s="19" t="s">
        <v>544</v>
      </c>
      <c r="F25" s="18" t="s">
        <v>291</v>
      </c>
      <c r="G25" s="18" t="s">
        <v>104</v>
      </c>
    </row>
    <row r="26" spans="1:7" ht="41.85" customHeight="1" x14ac:dyDescent="0.3">
      <c r="A26" s="16" t="s">
        <v>531</v>
      </c>
      <c r="B26" s="17" t="s">
        <v>545</v>
      </c>
      <c r="C26" s="17" t="s">
        <v>546</v>
      </c>
      <c r="D26" s="24" t="s">
        <v>534</v>
      </c>
      <c r="E26" s="17" t="s">
        <v>547</v>
      </c>
      <c r="F26" s="16" t="s">
        <v>129</v>
      </c>
      <c r="G26" s="16" t="s">
        <v>104</v>
      </c>
    </row>
    <row r="27" spans="1:7" ht="29.25" customHeight="1" x14ac:dyDescent="0.3">
      <c r="A27" s="18" t="s">
        <v>531</v>
      </c>
      <c r="B27" s="19" t="s">
        <v>545</v>
      </c>
      <c r="C27" s="19" t="s">
        <v>548</v>
      </c>
      <c r="D27" s="24" t="s">
        <v>534</v>
      </c>
      <c r="E27" s="19" t="s">
        <v>549</v>
      </c>
      <c r="F27" s="18" t="s">
        <v>129</v>
      </c>
      <c r="G27" s="18" t="s">
        <v>104</v>
      </c>
    </row>
    <row r="28" spans="1:7" ht="29.25" customHeight="1" x14ac:dyDescent="0.3">
      <c r="A28" s="16" t="s">
        <v>531</v>
      </c>
      <c r="B28" s="17" t="s">
        <v>550</v>
      </c>
      <c r="C28" s="17" t="s">
        <v>551</v>
      </c>
      <c r="D28" s="23" t="s">
        <v>507</v>
      </c>
      <c r="E28" s="17" t="s">
        <v>552</v>
      </c>
      <c r="F28" s="16" t="s">
        <v>141</v>
      </c>
      <c r="G28" s="16" t="s">
        <v>104</v>
      </c>
    </row>
    <row r="29" spans="1:7" ht="29.25" customHeight="1" x14ac:dyDescent="0.3">
      <c r="A29" s="18" t="s">
        <v>531</v>
      </c>
      <c r="B29" s="19" t="s">
        <v>545</v>
      </c>
      <c r="C29" s="19" t="s">
        <v>553</v>
      </c>
      <c r="D29" s="23" t="s">
        <v>507</v>
      </c>
      <c r="E29" s="19" t="s">
        <v>554</v>
      </c>
      <c r="F29" s="18" t="s">
        <v>125</v>
      </c>
      <c r="G29" s="18" t="s">
        <v>104</v>
      </c>
    </row>
    <row r="30" spans="1:7" ht="41.85" customHeight="1" x14ac:dyDescent="0.3">
      <c r="A30" s="16" t="s">
        <v>555</v>
      </c>
      <c r="B30" s="17" t="s">
        <v>556</v>
      </c>
      <c r="C30" s="17" t="s">
        <v>557</v>
      </c>
      <c r="D30" s="24" t="s">
        <v>534</v>
      </c>
      <c r="E30" s="17" t="s">
        <v>558</v>
      </c>
      <c r="F30" s="16" t="s">
        <v>291</v>
      </c>
      <c r="G30" s="16" t="s">
        <v>104</v>
      </c>
    </row>
    <row r="31" spans="1:7" ht="29.25" customHeight="1" x14ac:dyDescent="0.3">
      <c r="A31" s="18" t="s">
        <v>559</v>
      </c>
      <c r="B31" s="19" t="s">
        <v>560</v>
      </c>
      <c r="C31" s="19" t="s">
        <v>561</v>
      </c>
      <c r="D31" s="18" t="s">
        <v>491</v>
      </c>
      <c r="E31" s="19" t="s">
        <v>562</v>
      </c>
      <c r="F31" s="18" t="s">
        <v>111</v>
      </c>
      <c r="G31" s="18" t="s">
        <v>104</v>
      </c>
    </row>
    <row r="32" spans="1:7" ht="29.25" customHeight="1" x14ac:dyDescent="0.3">
      <c r="A32" s="16" t="s">
        <v>559</v>
      </c>
      <c r="B32" s="17" t="s">
        <v>560</v>
      </c>
      <c r="C32" s="17" t="s">
        <v>563</v>
      </c>
      <c r="D32" s="16" t="s">
        <v>491</v>
      </c>
      <c r="E32" s="17" t="s">
        <v>564</v>
      </c>
      <c r="F32" s="16" t="s">
        <v>99</v>
      </c>
      <c r="G32" s="16" t="s">
        <v>254</v>
      </c>
    </row>
  </sheetData>
  <autoFilter ref="A3:G32" xr:uid="{00000000-0009-0000-0000-000003000000}"/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235"/>
  </sheetPr>
  <dimension ref="A1:G21"/>
  <sheetViews>
    <sheetView showGridLines="0" workbookViewId="0"/>
  </sheetViews>
  <sheetFormatPr defaultRowHeight="14.4" x14ac:dyDescent="0.3"/>
  <cols>
    <col min="1" max="1" width="30" customWidth="1"/>
    <col min="2" max="2" width="38" customWidth="1"/>
    <col min="3" max="3" width="18" customWidth="1"/>
    <col min="4" max="4" width="44" customWidth="1"/>
    <col min="5" max="6" width="16" customWidth="1"/>
    <col min="7" max="7" width="18" customWidth="1"/>
  </cols>
  <sheetData>
    <row r="1" spans="1:7" ht="30" customHeight="1" x14ac:dyDescent="0.3">
      <c r="A1" s="33" t="s">
        <v>565</v>
      </c>
      <c r="B1" s="29"/>
      <c r="C1" s="29"/>
      <c r="D1" s="29"/>
      <c r="E1" s="29"/>
      <c r="F1" s="29"/>
      <c r="G1" s="29"/>
    </row>
    <row r="2" spans="1:7" ht="24" customHeight="1" x14ac:dyDescent="0.3">
      <c r="A2" s="30" t="s">
        <v>566</v>
      </c>
      <c r="B2" s="29"/>
      <c r="C2" s="29"/>
      <c r="D2" s="29"/>
      <c r="E2" s="29"/>
      <c r="F2" s="29"/>
      <c r="G2" s="29"/>
    </row>
    <row r="3" spans="1:7" ht="31.95" customHeight="1" x14ac:dyDescent="0.3">
      <c r="A3" s="3" t="s">
        <v>567</v>
      </c>
      <c r="B3" s="3" t="s">
        <v>568</v>
      </c>
      <c r="C3" s="3" t="s">
        <v>569</v>
      </c>
      <c r="D3" s="3" t="s">
        <v>570</v>
      </c>
      <c r="E3" s="3" t="s">
        <v>571</v>
      </c>
      <c r="F3" s="3" t="s">
        <v>572</v>
      </c>
      <c r="G3" s="3" t="s">
        <v>573</v>
      </c>
    </row>
    <row r="4" spans="1:7" ht="54.45" customHeight="1" x14ac:dyDescent="0.3">
      <c r="A4" s="17" t="s">
        <v>574</v>
      </c>
      <c r="B4" s="17" t="s">
        <v>575</v>
      </c>
      <c r="C4" s="25">
        <v>40</v>
      </c>
      <c r="D4" s="17" t="s">
        <v>576</v>
      </c>
      <c r="E4" s="25">
        <v>6</v>
      </c>
      <c r="F4" s="25">
        <f t="shared" ref="F4:F16" si="0">(C4-E4)*12</f>
        <v>408</v>
      </c>
      <c r="G4" s="16" t="s">
        <v>577</v>
      </c>
    </row>
    <row r="5" spans="1:7" ht="29.25" customHeight="1" x14ac:dyDescent="0.3">
      <c r="A5" s="19" t="s">
        <v>578</v>
      </c>
      <c r="B5" s="19" t="s">
        <v>579</v>
      </c>
      <c r="C5" s="26">
        <v>35</v>
      </c>
      <c r="D5" s="19" t="s">
        <v>580</v>
      </c>
      <c r="E5" s="26">
        <v>2</v>
      </c>
      <c r="F5" s="26">
        <f t="shared" si="0"/>
        <v>396</v>
      </c>
      <c r="G5" s="18" t="s">
        <v>577</v>
      </c>
    </row>
    <row r="6" spans="1:7" ht="16.649999999999999" customHeight="1" x14ac:dyDescent="0.3">
      <c r="A6" s="17" t="s">
        <v>581</v>
      </c>
      <c r="B6" s="17" t="s">
        <v>582</v>
      </c>
      <c r="C6" s="25">
        <v>12</v>
      </c>
      <c r="D6" s="17" t="s">
        <v>583</v>
      </c>
      <c r="E6" s="25">
        <v>0</v>
      </c>
      <c r="F6" s="25">
        <f t="shared" si="0"/>
        <v>144</v>
      </c>
      <c r="G6" s="16" t="s">
        <v>577</v>
      </c>
    </row>
    <row r="7" spans="1:7" ht="29.25" customHeight="1" x14ac:dyDescent="0.3">
      <c r="A7" s="19" t="s">
        <v>584</v>
      </c>
      <c r="B7" s="19" t="s">
        <v>585</v>
      </c>
      <c r="C7" s="26">
        <v>15</v>
      </c>
      <c r="D7" s="19" t="s">
        <v>586</v>
      </c>
      <c r="E7" s="26">
        <v>0</v>
      </c>
      <c r="F7" s="26">
        <f t="shared" si="0"/>
        <v>180</v>
      </c>
      <c r="G7" s="18" t="s">
        <v>577</v>
      </c>
    </row>
    <row r="8" spans="1:7" ht="29.25" customHeight="1" x14ac:dyDescent="0.3">
      <c r="A8" s="17" t="s">
        <v>587</v>
      </c>
      <c r="B8" s="17" t="s">
        <v>588</v>
      </c>
      <c r="C8" s="25">
        <v>10</v>
      </c>
      <c r="D8" s="17" t="s">
        <v>589</v>
      </c>
      <c r="E8" s="25">
        <v>0</v>
      </c>
      <c r="F8" s="25">
        <f t="shared" si="0"/>
        <v>120</v>
      </c>
      <c r="G8" s="16" t="s">
        <v>577</v>
      </c>
    </row>
    <row r="9" spans="1:7" ht="16.649999999999999" customHeight="1" x14ac:dyDescent="0.3">
      <c r="A9" s="19" t="s">
        <v>590</v>
      </c>
      <c r="B9" s="19" t="s">
        <v>591</v>
      </c>
      <c r="C9" s="26">
        <v>20</v>
      </c>
      <c r="D9" s="19" t="s">
        <v>592</v>
      </c>
      <c r="E9" s="26">
        <v>0</v>
      </c>
      <c r="F9" s="26">
        <f t="shared" si="0"/>
        <v>240</v>
      </c>
      <c r="G9" s="18" t="s">
        <v>577</v>
      </c>
    </row>
    <row r="10" spans="1:7" ht="41.85" customHeight="1" x14ac:dyDescent="0.3">
      <c r="A10" s="17" t="s">
        <v>593</v>
      </c>
      <c r="B10" s="17" t="s">
        <v>594</v>
      </c>
      <c r="C10" s="25">
        <v>8</v>
      </c>
      <c r="D10" s="17" t="s">
        <v>595</v>
      </c>
      <c r="E10" s="25">
        <v>0</v>
      </c>
      <c r="F10" s="25">
        <f t="shared" si="0"/>
        <v>96</v>
      </c>
      <c r="G10" s="16" t="s">
        <v>577</v>
      </c>
    </row>
    <row r="11" spans="1:7" ht="29.25" customHeight="1" x14ac:dyDescent="0.3">
      <c r="A11" s="19" t="s">
        <v>596</v>
      </c>
      <c r="B11" s="19" t="s">
        <v>597</v>
      </c>
      <c r="C11" s="26">
        <v>5</v>
      </c>
      <c r="D11" s="19" t="s">
        <v>598</v>
      </c>
      <c r="E11" s="26">
        <v>0</v>
      </c>
      <c r="F11" s="26">
        <f t="shared" si="0"/>
        <v>60</v>
      </c>
      <c r="G11" s="18" t="s">
        <v>577</v>
      </c>
    </row>
    <row r="12" spans="1:7" ht="16.649999999999999" customHeight="1" x14ac:dyDescent="0.3">
      <c r="A12" s="17" t="s">
        <v>599</v>
      </c>
      <c r="B12" s="17" t="s">
        <v>600</v>
      </c>
      <c r="C12" s="25">
        <v>26</v>
      </c>
      <c r="D12" s="17" t="s">
        <v>601</v>
      </c>
      <c r="E12" s="25">
        <v>0</v>
      </c>
      <c r="F12" s="25">
        <f t="shared" si="0"/>
        <v>312</v>
      </c>
      <c r="G12" s="16" t="s">
        <v>602</v>
      </c>
    </row>
    <row r="13" spans="1:7" ht="29.25" customHeight="1" x14ac:dyDescent="0.3">
      <c r="A13" s="19" t="s">
        <v>603</v>
      </c>
      <c r="B13" s="19" t="s">
        <v>604</v>
      </c>
      <c r="C13" s="26">
        <v>5</v>
      </c>
      <c r="D13" s="19" t="s">
        <v>605</v>
      </c>
      <c r="E13" s="26">
        <v>0</v>
      </c>
      <c r="F13" s="26">
        <f t="shared" si="0"/>
        <v>60</v>
      </c>
      <c r="G13" s="18" t="s">
        <v>606</v>
      </c>
    </row>
    <row r="14" spans="1:7" ht="16.649999999999999" customHeight="1" x14ac:dyDescent="0.3">
      <c r="A14" s="17" t="s">
        <v>607</v>
      </c>
      <c r="B14" s="17" t="s">
        <v>608</v>
      </c>
      <c r="C14" s="25">
        <v>1.5</v>
      </c>
      <c r="D14" s="17" t="s">
        <v>609</v>
      </c>
      <c r="E14" s="25">
        <v>1.5</v>
      </c>
      <c r="F14" s="25">
        <f t="shared" si="0"/>
        <v>0</v>
      </c>
      <c r="G14" s="16" t="s">
        <v>606</v>
      </c>
    </row>
    <row r="15" spans="1:7" ht="16.649999999999999" customHeight="1" x14ac:dyDescent="0.3">
      <c r="A15" s="19" t="s">
        <v>610</v>
      </c>
      <c r="B15" s="19" t="s">
        <v>611</v>
      </c>
      <c r="C15" s="26">
        <v>2.08</v>
      </c>
      <c r="D15" s="19" t="s">
        <v>612</v>
      </c>
      <c r="E15" s="26">
        <v>2.08</v>
      </c>
      <c r="F15" s="26">
        <f t="shared" si="0"/>
        <v>0</v>
      </c>
      <c r="G15" s="18" t="s">
        <v>613</v>
      </c>
    </row>
    <row r="16" spans="1:7" ht="29.25" customHeight="1" x14ac:dyDescent="0.3">
      <c r="A16" s="17" t="s">
        <v>614</v>
      </c>
      <c r="B16" s="17" t="s">
        <v>615</v>
      </c>
      <c r="C16" s="25">
        <v>8.25</v>
      </c>
      <c r="D16" s="17" t="s">
        <v>616</v>
      </c>
      <c r="E16" s="25">
        <v>8.25</v>
      </c>
      <c r="F16" s="25">
        <f t="shared" si="0"/>
        <v>0</v>
      </c>
      <c r="G16" s="16" t="s">
        <v>613</v>
      </c>
    </row>
    <row r="17" spans="1:7" x14ac:dyDescent="0.3">
      <c r="A17" s="12" t="s">
        <v>46</v>
      </c>
      <c r="B17" s="12"/>
      <c r="C17" s="27">
        <f>SUM(C4:C16)</f>
        <v>187.83</v>
      </c>
      <c r="D17" s="12" t="s">
        <v>617</v>
      </c>
      <c r="E17" s="27">
        <f>SUM(E4:E16)</f>
        <v>19.829999999999998</v>
      </c>
      <c r="F17" s="27">
        <f>SUM(F4:F16)</f>
        <v>2016</v>
      </c>
      <c r="G17" s="9"/>
    </row>
    <row r="19" spans="1:7" ht="13.95" customHeight="1" x14ac:dyDescent="0.3">
      <c r="A19" s="36" t="s">
        <v>618</v>
      </c>
      <c r="B19" s="29"/>
      <c r="C19" s="29"/>
      <c r="D19" s="29"/>
      <c r="E19" s="29"/>
      <c r="F19" s="29"/>
      <c r="G19" s="29"/>
    </row>
    <row r="20" spans="1:7" ht="25.95" customHeight="1" x14ac:dyDescent="0.3">
      <c r="A20" s="36" t="s">
        <v>619</v>
      </c>
      <c r="B20" s="29"/>
      <c r="C20" s="29"/>
      <c r="D20" s="29"/>
      <c r="E20" s="29"/>
      <c r="F20" s="29"/>
      <c r="G20" s="29"/>
    </row>
    <row r="21" spans="1:7" ht="13.95" customHeight="1" x14ac:dyDescent="0.3">
      <c r="A21" s="36" t="s">
        <v>620</v>
      </c>
      <c r="B21" s="29"/>
      <c r="C21" s="29"/>
      <c r="D21" s="29"/>
      <c r="E21" s="29"/>
      <c r="F21" s="29"/>
      <c r="G21" s="29"/>
    </row>
  </sheetData>
  <mergeCells count="5">
    <mergeCell ref="A1:G1"/>
    <mergeCell ref="A21:G21"/>
    <mergeCell ref="A20:G20"/>
    <mergeCell ref="A2:G2"/>
    <mergeCell ref="A19:G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E15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3" width="12" customWidth="1"/>
    <col min="4" max="4" width="40" customWidth="1"/>
    <col min="5" max="5" width="62" customWidth="1"/>
  </cols>
  <sheetData>
    <row r="1" spans="1:5" ht="30" customHeight="1" x14ac:dyDescent="0.3">
      <c r="A1" s="33" t="s">
        <v>621</v>
      </c>
      <c r="B1" s="29"/>
      <c r="C1" s="29"/>
      <c r="D1" s="29"/>
      <c r="E1" s="29"/>
    </row>
    <row r="2" spans="1:5" ht="24" customHeight="1" x14ac:dyDescent="0.3">
      <c r="A2" s="30" t="s">
        <v>622</v>
      </c>
      <c r="B2" s="29"/>
      <c r="C2" s="29"/>
      <c r="D2" s="29"/>
      <c r="E2" s="29"/>
    </row>
    <row r="3" spans="1:5" ht="31.95" customHeight="1" x14ac:dyDescent="0.3">
      <c r="A3" s="3" t="s">
        <v>623</v>
      </c>
      <c r="B3" s="3" t="s">
        <v>624</v>
      </c>
      <c r="C3" s="3" t="s">
        <v>625</v>
      </c>
      <c r="D3" s="3" t="s">
        <v>626</v>
      </c>
      <c r="E3" s="3" t="s">
        <v>627</v>
      </c>
    </row>
    <row r="4" spans="1:5" ht="54.45" customHeight="1" x14ac:dyDescent="0.3">
      <c r="A4" s="17" t="s">
        <v>628</v>
      </c>
      <c r="B4" s="16" t="s">
        <v>155</v>
      </c>
      <c r="C4" s="16" t="s">
        <v>155</v>
      </c>
      <c r="D4" s="17" t="s">
        <v>629</v>
      </c>
      <c r="E4" s="17" t="s">
        <v>630</v>
      </c>
    </row>
    <row r="5" spans="1:5" ht="54.45" customHeight="1" x14ac:dyDescent="0.3">
      <c r="A5" s="19" t="s">
        <v>631</v>
      </c>
      <c r="B5" s="18" t="s">
        <v>155</v>
      </c>
      <c r="C5" s="18" t="s">
        <v>254</v>
      </c>
      <c r="D5" s="19" t="s">
        <v>632</v>
      </c>
      <c r="E5" s="19" t="s">
        <v>633</v>
      </c>
    </row>
    <row r="6" spans="1:5" ht="54.45" customHeight="1" x14ac:dyDescent="0.3">
      <c r="A6" s="17" t="s">
        <v>634</v>
      </c>
      <c r="B6" s="16" t="s">
        <v>155</v>
      </c>
      <c r="C6" s="16" t="s">
        <v>155</v>
      </c>
      <c r="D6" s="17" t="s">
        <v>635</v>
      </c>
      <c r="E6" s="17" t="s">
        <v>636</v>
      </c>
    </row>
    <row r="7" spans="1:5" ht="54.45" customHeight="1" x14ac:dyDescent="0.3">
      <c r="A7" s="19" t="s">
        <v>637</v>
      </c>
      <c r="B7" s="18" t="s">
        <v>155</v>
      </c>
      <c r="C7" s="18" t="s">
        <v>155</v>
      </c>
      <c r="D7" s="19" t="s">
        <v>638</v>
      </c>
      <c r="E7" s="19" t="s">
        <v>639</v>
      </c>
    </row>
    <row r="8" spans="1:5" ht="54.45" customHeight="1" x14ac:dyDescent="0.3">
      <c r="A8" s="17" t="s">
        <v>640</v>
      </c>
      <c r="B8" s="16" t="s">
        <v>254</v>
      </c>
      <c r="C8" s="16" t="s">
        <v>155</v>
      </c>
      <c r="D8" s="17" t="s">
        <v>641</v>
      </c>
      <c r="E8" s="17" t="s">
        <v>642</v>
      </c>
    </row>
    <row r="9" spans="1:5" ht="54.45" customHeight="1" x14ac:dyDescent="0.3">
      <c r="A9" s="19" t="s">
        <v>643</v>
      </c>
      <c r="B9" s="18" t="s">
        <v>254</v>
      </c>
      <c r="C9" s="18" t="s">
        <v>254</v>
      </c>
      <c r="D9" s="19" t="s">
        <v>644</v>
      </c>
      <c r="E9" s="19" t="s">
        <v>645</v>
      </c>
    </row>
    <row r="10" spans="1:5" ht="54.45" customHeight="1" x14ac:dyDescent="0.3">
      <c r="A10" s="17" t="s">
        <v>646</v>
      </c>
      <c r="B10" s="16" t="s">
        <v>254</v>
      </c>
      <c r="C10" s="16" t="s">
        <v>254</v>
      </c>
      <c r="D10" s="17" t="s">
        <v>647</v>
      </c>
      <c r="E10" s="17" t="s">
        <v>648</v>
      </c>
    </row>
    <row r="11" spans="1:5" ht="41.85" customHeight="1" x14ac:dyDescent="0.3">
      <c r="A11" s="19" t="s">
        <v>649</v>
      </c>
      <c r="B11" s="18" t="s">
        <v>254</v>
      </c>
      <c r="C11" s="18" t="s">
        <v>254</v>
      </c>
      <c r="D11" s="19" t="s">
        <v>650</v>
      </c>
      <c r="E11" s="19" t="s">
        <v>651</v>
      </c>
    </row>
    <row r="12" spans="1:5" ht="41.85" customHeight="1" x14ac:dyDescent="0.3">
      <c r="A12" s="17" t="s">
        <v>652</v>
      </c>
      <c r="B12" s="16" t="s">
        <v>254</v>
      </c>
      <c r="C12" s="16" t="s">
        <v>155</v>
      </c>
      <c r="D12" s="17" t="s">
        <v>653</v>
      </c>
      <c r="E12" s="17" t="s">
        <v>654</v>
      </c>
    </row>
    <row r="13" spans="1:5" ht="54.45" customHeight="1" x14ac:dyDescent="0.3">
      <c r="A13" s="19" t="s">
        <v>655</v>
      </c>
      <c r="B13" s="18" t="s">
        <v>155</v>
      </c>
      <c r="C13" s="18" t="s">
        <v>155</v>
      </c>
      <c r="D13" s="19" t="s">
        <v>656</v>
      </c>
      <c r="E13" s="19" t="s">
        <v>657</v>
      </c>
    </row>
    <row r="14" spans="1:5" ht="41.85" customHeight="1" x14ac:dyDescent="0.3">
      <c r="A14" s="17" t="s">
        <v>658</v>
      </c>
      <c r="B14" s="16" t="s">
        <v>254</v>
      </c>
      <c r="C14" s="16" t="s">
        <v>254</v>
      </c>
      <c r="D14" s="17" t="s">
        <v>659</v>
      </c>
      <c r="E14" s="17" t="s">
        <v>660</v>
      </c>
    </row>
    <row r="15" spans="1:5" ht="41.85" customHeight="1" x14ac:dyDescent="0.3">
      <c r="A15" s="19" t="s">
        <v>661</v>
      </c>
      <c r="B15" s="18" t="s">
        <v>254</v>
      </c>
      <c r="C15" s="18" t="s">
        <v>254</v>
      </c>
      <c r="D15" s="19" t="s">
        <v>662</v>
      </c>
      <c r="E15" s="19" t="s">
        <v>663</v>
      </c>
    </row>
  </sheetData>
  <autoFilter ref="A3:E15" xr:uid="{00000000-0009-0000-0000-000005000000}"/>
  <mergeCells count="2">
    <mergeCell ref="A2:E2"/>
    <mergeCell ref="A1:E1"/>
  </mergeCells>
  <conditionalFormatting sqref="B4:C15">
    <cfRule type="cellIs" dxfId="2" priority="1" operator="equal">
      <formula>"Yüksek"</formula>
    </cfRule>
    <cfRule type="cellIs" dxfId="1" priority="2" operator="equal">
      <formula>"Orta"</formula>
    </cfRule>
    <cfRule type="cellIs" dxfId="0" priority="3" operator="equal">
      <formula>"Düşük"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F8F00"/>
  </sheetPr>
  <dimension ref="A1:G1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12" customWidth="1"/>
    <col min="3" max="3" width="20" customWidth="1"/>
    <col min="4" max="4" width="32" customWidth="1"/>
    <col min="5" max="5" width="46" customWidth="1"/>
    <col min="6" max="6" width="52" customWidth="1"/>
    <col min="7" max="7" width="14" customWidth="1"/>
  </cols>
  <sheetData>
    <row r="1" spans="1:7" ht="30" customHeight="1" x14ac:dyDescent="0.3">
      <c r="A1" s="33" t="s">
        <v>664</v>
      </c>
      <c r="B1" s="29"/>
      <c r="C1" s="29"/>
      <c r="D1" s="29"/>
      <c r="E1" s="29"/>
      <c r="F1" s="29"/>
      <c r="G1" s="29"/>
    </row>
    <row r="2" spans="1:7" ht="24" customHeight="1" x14ac:dyDescent="0.3">
      <c r="A2" s="30" t="s">
        <v>665</v>
      </c>
      <c r="B2" s="29"/>
      <c r="C2" s="29"/>
      <c r="D2" s="29"/>
      <c r="E2" s="29"/>
      <c r="F2" s="29"/>
      <c r="G2" s="29"/>
    </row>
    <row r="3" spans="1:7" ht="31.95" customHeight="1" x14ac:dyDescent="0.3">
      <c r="A3" s="3" t="s">
        <v>666</v>
      </c>
      <c r="B3" s="3" t="s">
        <v>96</v>
      </c>
      <c r="C3" s="3" t="s">
        <v>91</v>
      </c>
      <c r="D3" s="3" t="s">
        <v>667</v>
      </c>
      <c r="E3" s="3" t="s">
        <v>668</v>
      </c>
      <c r="F3" s="3" t="s">
        <v>669</v>
      </c>
      <c r="G3" s="3" t="s">
        <v>670</v>
      </c>
    </row>
    <row r="4" spans="1:7" ht="41.85" customHeight="1" x14ac:dyDescent="0.3">
      <c r="A4" s="16" t="s">
        <v>671</v>
      </c>
      <c r="B4" s="16" t="s">
        <v>672</v>
      </c>
      <c r="C4" s="17" t="s">
        <v>673</v>
      </c>
      <c r="D4" s="17" t="s">
        <v>674</v>
      </c>
      <c r="E4" s="17" t="s">
        <v>675</v>
      </c>
      <c r="F4" s="17" t="s">
        <v>676</v>
      </c>
      <c r="G4" s="16" t="s">
        <v>677</v>
      </c>
    </row>
    <row r="5" spans="1:7" ht="41.85" customHeight="1" x14ac:dyDescent="0.3">
      <c r="A5" s="18" t="s">
        <v>671</v>
      </c>
      <c r="B5" s="18" t="s">
        <v>672</v>
      </c>
      <c r="C5" s="19" t="s">
        <v>678</v>
      </c>
      <c r="D5" s="19" t="s">
        <v>679</v>
      </c>
      <c r="E5" s="19" t="s">
        <v>680</v>
      </c>
      <c r="F5" s="19" t="s">
        <v>681</v>
      </c>
      <c r="G5" s="18" t="s">
        <v>682</v>
      </c>
    </row>
    <row r="6" spans="1:7" ht="41.85" customHeight="1" x14ac:dyDescent="0.3">
      <c r="A6" s="16" t="s">
        <v>671</v>
      </c>
      <c r="B6" s="16" t="s">
        <v>155</v>
      </c>
      <c r="C6" s="17" t="s">
        <v>678</v>
      </c>
      <c r="D6" s="17" t="s">
        <v>683</v>
      </c>
      <c r="E6" s="17" t="s">
        <v>684</v>
      </c>
      <c r="F6" s="17" t="s">
        <v>685</v>
      </c>
      <c r="G6" s="16" t="s">
        <v>686</v>
      </c>
    </row>
    <row r="7" spans="1:7" ht="41.85" customHeight="1" x14ac:dyDescent="0.3">
      <c r="A7" s="18" t="s">
        <v>671</v>
      </c>
      <c r="B7" s="18" t="s">
        <v>155</v>
      </c>
      <c r="C7" s="19" t="s">
        <v>687</v>
      </c>
      <c r="D7" s="19" t="s">
        <v>688</v>
      </c>
      <c r="E7" s="19" t="s">
        <v>689</v>
      </c>
      <c r="F7" s="19" t="s">
        <v>690</v>
      </c>
      <c r="G7" s="18" t="s">
        <v>682</v>
      </c>
    </row>
    <row r="8" spans="1:7" ht="41.85" customHeight="1" x14ac:dyDescent="0.3">
      <c r="A8" s="16" t="s">
        <v>671</v>
      </c>
      <c r="B8" s="16" t="s">
        <v>155</v>
      </c>
      <c r="C8" s="17" t="s">
        <v>691</v>
      </c>
      <c r="D8" s="17" t="s">
        <v>692</v>
      </c>
      <c r="E8" s="17" t="s">
        <v>693</v>
      </c>
      <c r="F8" s="17" t="s">
        <v>694</v>
      </c>
      <c r="G8" s="16" t="s">
        <v>686</v>
      </c>
    </row>
    <row r="9" spans="1:7" ht="29.25" customHeight="1" x14ac:dyDescent="0.3">
      <c r="A9" s="18" t="s">
        <v>671</v>
      </c>
      <c r="B9" s="18" t="s">
        <v>254</v>
      </c>
      <c r="C9" s="19" t="s">
        <v>695</v>
      </c>
      <c r="D9" s="19" t="s">
        <v>696</v>
      </c>
      <c r="E9" s="19" t="s">
        <v>697</v>
      </c>
      <c r="F9" s="19" t="s">
        <v>698</v>
      </c>
      <c r="G9" s="18" t="s">
        <v>682</v>
      </c>
    </row>
    <row r="10" spans="1:7" ht="29.25" customHeight="1" x14ac:dyDescent="0.3">
      <c r="A10" s="16" t="s">
        <v>671</v>
      </c>
      <c r="B10" s="16" t="s">
        <v>254</v>
      </c>
      <c r="C10" s="17" t="s">
        <v>699</v>
      </c>
      <c r="D10" s="17" t="s">
        <v>700</v>
      </c>
      <c r="E10" s="17" t="s">
        <v>701</v>
      </c>
      <c r="F10" s="17" t="s">
        <v>702</v>
      </c>
      <c r="G10" s="16" t="s">
        <v>703</v>
      </c>
    </row>
    <row r="11" spans="1:7" ht="29.25" customHeight="1" x14ac:dyDescent="0.3">
      <c r="A11" s="18" t="s">
        <v>671</v>
      </c>
      <c r="B11" s="18" t="s">
        <v>254</v>
      </c>
      <c r="C11" s="19" t="s">
        <v>704</v>
      </c>
      <c r="D11" s="19" t="s">
        <v>705</v>
      </c>
      <c r="E11" s="19" t="s">
        <v>706</v>
      </c>
      <c r="F11" s="19" t="s">
        <v>707</v>
      </c>
      <c r="G11" s="18" t="s">
        <v>677</v>
      </c>
    </row>
    <row r="12" spans="1:7" ht="41.85" customHeight="1" x14ac:dyDescent="0.3">
      <c r="A12" s="16" t="s">
        <v>708</v>
      </c>
      <c r="B12" s="16" t="s">
        <v>155</v>
      </c>
      <c r="C12" s="17" t="s">
        <v>709</v>
      </c>
      <c r="D12" s="17" t="s">
        <v>710</v>
      </c>
      <c r="E12" s="17" t="s">
        <v>711</v>
      </c>
      <c r="F12" s="17" t="s">
        <v>712</v>
      </c>
      <c r="G12" s="16" t="s">
        <v>713</v>
      </c>
    </row>
    <row r="13" spans="1:7" ht="29.25" customHeight="1" x14ac:dyDescent="0.3">
      <c r="A13" s="18" t="s">
        <v>708</v>
      </c>
      <c r="B13" s="18" t="s">
        <v>714</v>
      </c>
      <c r="C13" s="19" t="s">
        <v>715</v>
      </c>
      <c r="D13" s="19" t="s">
        <v>716</v>
      </c>
      <c r="E13" s="19" t="s">
        <v>717</v>
      </c>
      <c r="F13" s="19" t="s">
        <v>718</v>
      </c>
      <c r="G13" s="18" t="s">
        <v>719</v>
      </c>
    </row>
    <row r="14" spans="1:7" ht="29.25" customHeight="1" x14ac:dyDescent="0.3">
      <c r="A14" s="16" t="s">
        <v>708</v>
      </c>
      <c r="B14" s="16" t="s">
        <v>714</v>
      </c>
      <c r="C14" s="17" t="s">
        <v>720</v>
      </c>
      <c r="D14" s="17" t="s">
        <v>721</v>
      </c>
      <c r="E14" s="17" t="s">
        <v>722</v>
      </c>
      <c r="F14" s="17" t="s">
        <v>723</v>
      </c>
      <c r="G14" s="16" t="s">
        <v>713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Ozet Dashboard</vt:lpstr>
      <vt:lpstr>Sprint Plani</vt:lpstr>
      <vt:lpstr>Ekran Haritasi</vt:lpstr>
      <vt:lpstr>DB ve Backend Degisiklikleri</vt:lpstr>
      <vt:lpstr>Maliyet Analizi</vt:lpstr>
      <vt:lpstr>Risk Yonetimi</vt:lpstr>
      <vt:lpstr>V2-V3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EKİN KARINCALI</cp:lastModifiedBy>
  <dcterms:created xsi:type="dcterms:W3CDTF">2026-08-11T07:00:09Z</dcterms:created>
  <dcterms:modified xsi:type="dcterms:W3CDTF">2026-08-12T11:07:26Z</dcterms:modified>
</cp:coreProperties>
</file>