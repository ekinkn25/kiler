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18D22415-7E0E-45F7-A2FE-DB33D2E6EDD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6" i="2"/>
  <c r="H66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D23" i="1"/>
  <c r="C23" i="1"/>
  <c r="B23" i="1"/>
  <c r="C26" i="1" l="1"/>
  <c r="B26" i="1"/>
  <c r="E23" i="1"/>
  <c r="E24" i="1"/>
  <c r="E25" i="1"/>
  <c r="D26" i="1"/>
  <c r="E2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<sst xmlns="http://schemas.openxmlformats.org/spreadsheetml/2006/main" count="1306" uniqueCount="732">
  <si>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</si>
  <si>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</si>
  <si>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</si>
  <si>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</si>
  <si>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</si>
  <si>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</si>
  <si>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</si>
  <si>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</si>
  <si>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</si>
  <si>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</si>
  <si>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</si>
  <si>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</si>
  <si>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</si>
  <si>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</si>
  <si>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</si>
  <si>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</si>
  <si>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</si>
  <si>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</si>
  <si>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</si>
  <si>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</si>
  <si>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</si>
  <si>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</si>
  <si>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</si>
  <si>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</si>
  <si>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</si>
  <si>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</si>
  <si>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</si>
  <si>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</si>
  <si>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</si>
  <si>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</si>
  <si>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</si>
  <si>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</si>
  <si>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</si>
  <si>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</si>
  <si>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</si>
  <si>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</si>
  <si>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</si>
  <si>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</si>
  <si>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</si>
  <si>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</si>
  <si>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</si>
  <si>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</si>
  <si>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</si>
  <si>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</si>
  <si>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</si>
  <si>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</si>
  <si>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</si>
  <si>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</si>
  <si>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</si>
  <si>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</si>
  <si>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</si>
  <si>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</si>
  <si>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</si>
  <si>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</si>
  <si>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</si>
  <si>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</si>
  <si>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</si>
  <si>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</si>
  <si>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</si>
  <si>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</si>
  <si>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</si>
  <si>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</si>
  <si>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</si>
  <si>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</si>
  <si>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</si>
  <si>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</si>
  <si>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</si>
  <si>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</si>
  <si>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</si>
  <si>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</si>
  <si>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</si>
  <si>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</si>
  <si>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</si>
  <si>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</si>
  <si>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</si>
  <si>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</si>
  <si>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</si>
  <si>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</si>
  <si>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</si>
  <si>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</si>
  <si>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</si>
  <si>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</si>
  <si>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</si>
  <si>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</si>
  <si>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</si>
  <si>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</si>
  <si>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</si>
  <si>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</si>
  <si>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</si>
  <si>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</si>
  <si>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</si>
  <si>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</si>
  <si>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</si>
  <si>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</si>
  <si>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</si>
  <si>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</si>
  <si>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</si>
  <si>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</si>
  <si>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</si>
  <si>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</si>
  <si>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</si>
  <si>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</si>
  <si>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</si>
  <si>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</si>
  <si>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</si>
  <si>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</si>
  <si>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</si>
  <si>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</si>
  <si>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</si>
  <si>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</si>
  <si>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</si>
  <si>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</si>
  <si>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</si>
  <si>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</si>
  <si>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</si>
  <si>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</si>
  <si>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</si>
  <si>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</si>
  <si>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</si>
  <si>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</si>
  <si>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</si>
  <si>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</si>
  <si>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</si>
  <si>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</si>
  <si>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</si>
  <si>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</si>
  <si>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</si>
  <si>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</si>
  <si>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</si>
  <si>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</si>
  <si>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</si>
  <si>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</si>
  <si>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</si>
  <si>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</si>
  <si>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</si>
  <si>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</si>
  <si>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</si>
  <si>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</si>
  <si>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</si>
  <si>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</si>
  <si>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</si>
  <si>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</si>
  <si>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</si>
  <si>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</si>
  <si>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</si>
  <si>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</si>
  <si>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</si>
  <si>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</si>
  <si>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</si>
  <si>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</si>
  <si>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</si>
  <si>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</si>
  <si>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</si>
  <si>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</si>
  <si>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</si>
  <si>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</si>
  <si>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</si>
  <si>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</si>
  <si>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</si>
  <si>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</si>
  <si>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</si>
  <si>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</si>
  <si>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</si>
  <si>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</si>
  <si>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</si>
  <si>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</si>
  <si>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</si>
  <si>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</si>
  <si>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</si>
  <si>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</si>
  <si>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</si>
  <si>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</si>
  <si>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</si>
  <si>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</si>
  <si>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</si>
  <si>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</si>
  <si>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</si>
  <si>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</si>
  <si>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</si>
  <si>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</si>
  <si>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</si>
  <si>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</si>
  <si>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</si>
  <si>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</si>
  <si>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</si>
  <si>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</si>
  <si>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</si>
  <si>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</si>
  <si>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</si>
  <si>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</si>
  <si>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</si>
  <si>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</si>
  <si>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</si>
  <si>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</si>
  <si>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</si>
  <si>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</si>
  <si>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</si>
  <si>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</si>
  <si>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</si>
  <si>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</si>
  <si>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</si>
  <si>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</si>
  <si>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</si>
  <si>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</si>
  <si>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</si>
  <si>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</si>
  <si>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</si>
  <si>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</si>
  <si>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</si>
  <si>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</si>
  <si>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</si>
  <si>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</si>
  <si>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</si>
  <si>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</si>
  <si>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</si>
  <si>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</si>
  <si>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</si>
  <si>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</si>
  <si>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</si>
  <si>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</si>
  <si>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</si>
  <si>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</si>
  <si>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</si>
  <si>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</si>
  <si>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</si>
  <si>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</si>
  <si>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</si>
  <si>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</si>
  <si>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</si>
  <si>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</si>
  <si>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</si>
  <si>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</si>
  <si>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</si>
  <si>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</si>
  <si>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</si>
  <si>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</si>
  <si>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</si>
  <si>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</si>
  <si>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</si>
  <si>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</si>
  <si>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</si>
  <si>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</si>
  <si>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</si>
  <si>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</si>
  <si>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</si>
  <si>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</si>
  <si>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</si>
  <si>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</si>
  <si>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</si>
  <si>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</si>
  <si>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</si>
  <si>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</si>
  <si>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</si>
  <si>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</si>
  <si>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</si>
  <si>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</si>
  <si>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</si>
  <si>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</si>
  <si>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</si>
  <si>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</si>
  <si>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</si>
  <si>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</si>
  <si>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</si>
  <si>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</si>
  <si>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</si>
  <si>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</si>
  <si>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</si>
  <si>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</si>
  <si>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</si>
  <si>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</si>
  <si>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</si>
  <si>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</si>
  <si>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</si>
  <si>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</si>
  <si>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</si>
  <si>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</si>
  <si>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</si>
  <si>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</si>
  <si>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</si>
  <si>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</si>
  <si>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</si>
  <si>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</si>
  <si>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</si>
  <si>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</si>
  <si>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</si>
  <si>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</si>
  <si>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</si>
  <si>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</si>
  <si>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</si>
  <si>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</si>
  <si>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</si>
  <si>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</si>
  <si>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</si>
  <si>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</si>
  <si>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</si>
  <si>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</si>
  <si>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</si>
  <si>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</si>
  <si>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</si>
  <si>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</si>
  <si>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</si>
  <si>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</si>
  <si>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</si>
  <si>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</si>
  <si>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</si>
  <si>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</si>
  <si>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</si>
  <si>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</si>
  <si>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</si>
  <si>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</si>
  <si>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</si>
  <si>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</si>
  <si>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</si>
  <si>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</si>
  <si>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</si>
  <si>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</si>
  <si>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</si>
  <si>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</si>
  <si>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</si>
  <si>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</si>
  <si>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</si>
  <si>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</si>
  <si>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</si>
  <si>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</si>
  <si>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</si>
  <si>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</si>
  <si>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</si>
  <si>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</si>
  <si>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</si>
  <si>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</si>
  <si>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</si>
  <si>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</si>
  <si>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</si>
  <si>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</si>
  <si>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</si>
  <si>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</si>
  <si>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</si>
  <si>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</si>
  <si>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</si>
  <si>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</si>
  <si>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</si>
  <si>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</si>
  <si>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</si>
  <si>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</si>
  <si>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</si>
  <si>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</si>
  <si>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</si>
  <si>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</si>
  <si>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</si>
  <si>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</si>
  <si>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</si>
  <si>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</si>
  <si>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</si>
  <si>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</si>
  <si>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</si>
  <si>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</si>
  <si>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</si>
  <si>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</si>
  <si>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</si>
  <si>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</si>
  <si>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</si>
  <si>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</si>
  <si>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</si>
  <si>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</si>
  <si>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</si>
  <si>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</si>
  <si>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</si>
  <si>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</si>
  <si>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</si>
  <si>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</si>
  <si>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</si>
  <si>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</si>
  <si>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</si>
  <si>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</si>
  <si>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</si>
  <si>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</si>
  <si>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</si>
  <si>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</si>
  <si>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</si>
  <si>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</si>
  <si>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</si>
  <si>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</si>
  <si>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</si>
  <si>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</si>
  <si>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</si>
  <si>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</si>
  <si>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</si>
  <si>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</si>
  <si>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</si>
  <si>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</si>
  <si>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</si>
  <si>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</si>
  <si>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</si>
  <si>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</si>
  <si>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</si>
  <si>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</si>
  <si>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</si>
  <si>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</si>
  <si>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</si>
  <si>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</si>
  <si>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</si>
  <si>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</si>
  <si>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</si>
  <si>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</si>
  <si>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</si>
  <si>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</si>
  <si>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</si>
  <si>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</si>
  <si>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</si>
  <si>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</si>
  <si>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</si>
  <si>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</si>
  <si>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</si>
  <si>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</si>
  <si>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</si>
  <si>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</si>
  <si>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</si>
  <si>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</si>
  <si>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</si>
  <si>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</si>
  <si>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</si>
  <si>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</si>
  <si>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</si>
  <si>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</si>
  <si>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</si>
  <si>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</si>
  <si>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</si>
  <si>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</si>
  <si>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</si>
  <si>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</si>
  <si>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</si>
  <si>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</si>
  <si>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</si>
  <si>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</si>
  <si>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</si>
  <si>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</si>
  <si>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</si>
  <si>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</si>
  <si>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</si>
  <si>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</si>
  <si>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</si>
  <si>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</si>
  <si>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</si>
  <si>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</si>
  <si>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</si>
  <si>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</si>
  <si>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</si>
  <si>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</si>
  <si>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</si>
  <si>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</si>
  <si>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</si>
  <si>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</si>
  <si>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</si>
  <si>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</si>
  <si>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</si>
  <si>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</si>
  <si>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</si>
  <si>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</si>
  <si>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</si>
  <si>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</si>
  <si>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</si>
  <si>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</si>
  <si>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</si>
  <si>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</si>
  <si>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</si>
  <si>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</si>
  <si>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</si>
  <si>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</si>
  <si>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</si>
  <si>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</si>
  <si>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</si>
  <si>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</si>
  <si>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</si>
  <si>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</si>
  <si>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</si>
  <si>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</si>
  <si>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</si>
  <si>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</si>
  <si>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</si>
  <si>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</si>
  <si>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</si>
  <si>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</si>
  <si>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</si>
  <si>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</si>
  <si>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</si>
  <si>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</si>
  <si>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</si>
  <si>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</si>
  <si>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</si>
  <si>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</si>
  <si>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</si>
  <si>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</si>
  <si>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</si>
  <si>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</si>
  <si>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</si>
  <si>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</si>
  <si>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</si>
  <si>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</si>
  <si>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</si>
  <si>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</si>
  <si>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</si>
  <si>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</si>
  <si>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</si>
  <si>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</si>
  <si>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</si>
  <si>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</si>
  <si>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</si>
  <si>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</si>
  <si>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</si>
  <si>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</si>
  <si>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</si>
  <si>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</si>
  <si>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</si>
  <si>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</si>
  <si>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</si>
  <si>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</si>
  <si>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</si>
  <si>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</si>
  <si>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</si>
  <si>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</si>
  <si>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</si>
  <si>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</si>
  <si>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</si>
  <si>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</si>
  <si>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</si>
  <si>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</si>
  <si>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</si>
  <si>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</si>
  <si>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</si>
  <si>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</si>
  <si>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</si>
  <si>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</si>
  <si>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</si>
  <si>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</si>
  <si>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</si>
  <si>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</si>
  <si>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</si>
  <si>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</si>
  <si>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</si>
  <si>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</si>
  <si>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</si>
  <si>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</si>
  <si>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</si>
  <si>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</si>
  <si>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</si>
  <si>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</si>
  <si>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</si>
  <si>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</si>
  <si>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</si>
  <si>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</si>
  <si>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</si>
  <si>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</si>
  <si>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</si>
  <si>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</si>
  <si>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</si>
  <si>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</si>
  <si>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</si>
  <si>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</si>
  <si>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</si>
  <si>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</si>
  <si>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</si>
  <si>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</si>
  <si>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</si>
  <si>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</si>
  <si>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</si>
  <si>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</si>
  <si>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</si>
  <si>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</si>
  <si>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</si>
  <si>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</si>
  <si>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</si>
  <si>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</si>
  <si>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</si>
  <si>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</si>
  <si>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</si>
  <si>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</si>
  <si>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</si>
  <si>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</si>
  <si>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</si>
  <si>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</si>
  <si>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</si>
  <si>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</si>
  <si>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</si>
  <si>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</si>
  <si>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</si>
  <si>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</si>
  <si>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</si>
  <si>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</si>
  <si>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</si>
  <si>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</si>
  <si>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</si>
  <si>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</si>
  <si>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</si>
  <si>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</si>
  <si>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</si>
  <si>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</si>
  <si>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</si>
  <si>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</si>
  <si>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</si>
  <si>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</si>
  <si>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</si>
  <si>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</si>
  <si>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</si>
  <si>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</si>
  <si>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</si>
  <si>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</si>
  <si>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</si>
  <si>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</si>
  <si>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</si>
  <si>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</si>
  <si>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</si>
  <si>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</si>
  <si>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</si>
  <si>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</si>
  <si>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</si>
  <si>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</si>
  <si>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</si>
  <si>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</si>
  <si>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</si>
  <si>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</si>
  <si>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</si>
  <si>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</si>
  <si>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</si>
  <si>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</si>
  <si>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</si>
  <si>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</si>
  <si>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</si>
  <si>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</si>
  <si>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</si>
  <si>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</si>
  <si>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</si>
  <si>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</si>
  <si>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</si>
  <si>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</si>
  <si>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</si>
  <si>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</si>
  <si>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</si>
  <si>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</si>
  <si>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</si>
  <si>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</si>
  <si>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</si>
  <si>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</si>
  <si>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</si>
  <si>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</si>
  <si>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</si>
  <si>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</si>
  <si>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</si>
  <si>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</si>
  <si>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</si>
  <si>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</si>
  <si>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</si>
  <si>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</si>
  <si>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</si>
  <si>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</si>
  <si>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</si>
  <si>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</si>
  <si>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</si>
  <si>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</si>
  <si>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</si>
  <si>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</si>
  <si>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</si>
  <si>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</si>
  <si>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</si>
  <si>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</si>
  <si>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</si>
  <si>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</si>
  <si>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</si>
  <si>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</si>
  <si>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</si>
  <si>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</si>
  <si>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</si>
  <si>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</si>
  <si>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</si>
  <si>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</si>
  <si>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</si>
  <si>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</si>
  <si>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</si>
  <si>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</si>
  <si>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</si>
  <si>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</si>
  <si>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</si>
  <si>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</si>
  <si>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</si>
  <si>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</si>
  <si>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</si>
  <si>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</si>
  <si>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</si>
  <si>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</si>
  <si>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</si>
  <si>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</si>
  <si>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</si>
  <si>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</si>
  <si>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</si>
  <si>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</si>
  <si>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</si>
  <si>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</si>
  <si>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</si>
  <si>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</si>
  <si>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</si>
  <si>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</si>
  <si>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</si>
  <si>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</si>
  <si>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</si>
  <si>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</si>
  <si>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</si>
  <si>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</si>
  <si>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</si>
  <si>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</si>
  <si>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</si>
  <si>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</si>
  <si>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</si>
  <si>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</si>
  <si>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</si>
  <si>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</si>
  <si>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</si>
  <si>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</si>
  <si>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</si>
  <si>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</si>
  <si>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</si>
  <si>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</si>
  <si>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</si>
  <si>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</si>
  <si>
    <t>s</t>
  </si>
  <si>
    <t>W3-T02B</t>
  </si>
  <si>
    <t>Backend / Onboarding+Algoritma</t>
  </si>
  <si>
    <t>Onboarding Ucu ve Zevk Öğrenme Motoru</t>
  </si>
  <si>
    <t>POST /onboarding ucu yazılır: profile→user_profiles (Mifflin-St Jeor ile BMR/TDEE/makro hesabı, eksik alanlarda varsayılan 2000 kcal), diet_tag_codes/allergen_codes→user_diet_tags/user_allergens, liked_recipe_ids→recipe_feedback(begendim). UserTasteWeight için örneklem-ortalaması güncelleme motoru yazılır: weight += (sinyal - weight)/event_count, boyutlar cuisine/diet_tag/ingredient/difficulty. Aynı motor swipe_service.record_swipe'a da bağlanır (begendim/begenmedim-sevmedim/yaptim öğrenen sinyal üretir; gordu/malzeme_yok/cok_uzun kural tabanlı kalır, dokunmaz).</t>
  </si>
  <si>
    <t>Onboarding tamamlanınca 4 tabloya + user_taste_weights'e kayıt gidiyor; 'Atla' ile 2000 kcal varsayılanı çalışıyor; kural tabanlı skorlama (T06) hiç kullanıcı verisi olmadan ilk günden çalışıyor; kullanıcı başına ~20-50 swipe sonrası öneri sırası ölçülebilir şekilde değişiyor.</t>
  </si>
  <si>
    <t>Öğrenen Profil Motorunun Gerçek Veriyle Doğrulanması</t>
  </si>
  <si>
    <t>W3-T02B'de kurulan UserTasteWeight motoru gerçek swipe verisiyle sınanır: event_count dağılımı ve ağırlık yakınsaması loglanır; gerekirse sinyal güçleri (begendim=1, yaptim=3 kat, sevmedim=-1) ayarlanır; T06'nın zevk bileşeni açık/kapalı iki durumda öneri sırası karşılaştırılır.</t>
  </si>
  <si>
    <t>En az 20-30 swipe yapmış test kullanıcısında öneri sıralaması ölçülebilir şekilde değişiyor; bulgular docs/ altına yazıldı.</t>
  </si>
  <si>
    <t>W3-T02B, W3-T09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</si>
</sst>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6" fontId="0" fillId="0" borderId="0" xfId="0" applyNumberFormat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9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2" t="s">
        <v>0</v>
      </c>
      <c r="B1" s="33"/>
      <c r="C1" s="33"/>
      <c r="D1" s="33"/>
      <c r="E1" s="33"/>
      <c r="F1" s="33"/>
    </row>
    <row r="2" spans="1:6" ht="24" customHeight="1" x14ac:dyDescent="0.3">
      <c r="A2" s="35" t="s">
        <v>1</v>
      </c>
      <c r="B2" s="33"/>
      <c r="C2" s="33"/>
      <c r="D2" s="33"/>
      <c r="E2" s="33"/>
      <c r="F2" s="33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9" t="s">
        <v>4</v>
      </c>
      <c r="C5" s="40"/>
      <c r="D5" s="40"/>
      <c r="E5" s="40"/>
      <c r="F5" s="40"/>
    </row>
    <row r="6" spans="1:6" ht="16.95" customHeight="1" x14ac:dyDescent="0.3">
      <c r="A6" s="2" t="s">
        <v>5</v>
      </c>
      <c r="B6" s="39" t="s">
        <v>6</v>
      </c>
      <c r="C6" s="40"/>
      <c r="D6" s="40"/>
      <c r="E6" s="40"/>
      <c r="F6" s="40"/>
    </row>
    <row r="7" spans="1:6" ht="16.95" customHeight="1" x14ac:dyDescent="0.3">
      <c r="A7" s="2" t="s">
        <v>7</v>
      </c>
      <c r="B7" s="39" t="s">
        <v>8</v>
      </c>
      <c r="C7" s="40"/>
      <c r="D7" s="40"/>
      <c r="E7" s="40"/>
      <c r="F7" s="40"/>
    </row>
    <row r="8" spans="1:6" ht="16.95" customHeight="1" x14ac:dyDescent="0.3">
      <c r="A8" s="2" t="s">
        <v>9</v>
      </c>
      <c r="B8" s="39" t="s">
        <v>10</v>
      </c>
      <c r="C8" s="40"/>
      <c r="D8" s="40"/>
      <c r="E8" s="40"/>
      <c r="F8" s="40"/>
    </row>
    <row r="9" spans="1:6" ht="16.95" customHeight="1" x14ac:dyDescent="0.3">
      <c r="A9" s="2" t="s">
        <v>11</v>
      </c>
      <c r="B9" s="39" t="s">
        <v>12</v>
      </c>
      <c r="C9" s="40"/>
      <c r="D9" s="40"/>
      <c r="E9" s="40"/>
      <c r="F9" s="40"/>
    </row>
    <row r="10" spans="1:6" ht="16.95" customHeight="1" x14ac:dyDescent="0.3">
      <c r="A10" s="2" t="s">
        <v>13</v>
      </c>
      <c r="B10" s="39" t="s">
        <v>14</v>
      </c>
      <c r="C10" s="40"/>
      <c r="D10" s="40"/>
      <c r="E10" s="40"/>
      <c r="F10" s="40"/>
    </row>
    <row r="11" spans="1:6" ht="16.95" customHeight="1" x14ac:dyDescent="0.3">
      <c r="A11" s="2" t="s">
        <v>15</v>
      </c>
      <c r="B11" s="39" t="s">
        <v>16</v>
      </c>
      <c r="C11" s="40"/>
      <c r="D11" s="40"/>
      <c r="E11" s="40"/>
      <c r="F11" s="40"/>
    </row>
    <row r="12" spans="1:6" ht="16.95" customHeight="1" x14ac:dyDescent="0.3">
      <c r="A12" s="2" t="s">
        <v>17</v>
      </c>
      <c r="B12" s="39" t="s">
        <v>18</v>
      </c>
      <c r="C12" s="40"/>
      <c r="D12" s="40"/>
      <c r="E12" s="40"/>
      <c r="F12" s="40"/>
    </row>
    <row r="13" spans="1:6" ht="16.95" customHeight="1" x14ac:dyDescent="0.3">
      <c r="A13" s="2" t="s">
        <v>19</v>
      </c>
      <c r="B13" s="39" t="s">
        <v>20</v>
      </c>
      <c r="C13" s="40"/>
      <c r="D13" s="40"/>
      <c r="E13" s="40"/>
      <c r="F13" s="40"/>
    </row>
    <row r="14" spans="1:6" ht="16.95" customHeight="1" x14ac:dyDescent="0.3">
      <c r="A14" s="2" t="s">
        <v>21</v>
      </c>
      <c r="B14" s="39" t="s">
        <v>22</v>
      </c>
      <c r="C14" s="40"/>
      <c r="D14" s="40"/>
      <c r="E14" s="40"/>
      <c r="F14" s="40"/>
    </row>
    <row r="15" spans="1:6" ht="16.95" customHeight="1" x14ac:dyDescent="0.3">
      <c r="A15" s="2" t="s">
        <v>23</v>
      </c>
      <c r="B15" s="39" t="s">
        <v>24</v>
      </c>
      <c r="C15" s="40"/>
      <c r="D15" s="40"/>
      <c r="E15" s="40"/>
      <c r="F15" s="40"/>
    </row>
    <row r="16" spans="1:6" ht="16.95" customHeight="1" x14ac:dyDescent="0.3">
      <c r="A16" s="2" t="s">
        <v>25</v>
      </c>
      <c r="B16" s="39" t="s">
        <v>26</v>
      </c>
      <c r="C16" s="40"/>
      <c r="D16" s="40"/>
      <c r="E16" s="40"/>
      <c r="F16" s="40"/>
    </row>
    <row r="17" spans="1:6" ht="16.95" customHeight="1" x14ac:dyDescent="0.3">
      <c r="A17" s="2" t="s">
        <v>27</v>
      </c>
      <c r="B17" s="39" t="s">
        <v>28</v>
      </c>
      <c r="C17" s="40"/>
      <c r="D17" s="40"/>
      <c r="E17" s="40"/>
      <c r="F17" s="40"/>
    </row>
    <row r="18" spans="1:6" ht="16.95" customHeight="1" x14ac:dyDescent="0.3">
      <c r="A18" s="2" t="s">
        <v>29</v>
      </c>
      <c r="B18" s="39" t="s">
        <v>30</v>
      </c>
      <c r="C18" s="40"/>
      <c r="D18" s="40"/>
      <c r="E18" s="40"/>
      <c r="F18" s="40"/>
    </row>
    <row r="19" spans="1:6" ht="16.95" customHeight="1" x14ac:dyDescent="0.3">
      <c r="A19" s="2" t="s">
        <v>31</v>
      </c>
      <c r="B19" s="39" t="s">
        <v>32</v>
      </c>
      <c r="C19" s="40"/>
      <c r="D19" s="40"/>
      <c r="E19" s="40"/>
      <c r="F19" s="40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Plani'!$A$4:$A$65,$A23)</f>
        <v>17</v>
      </c>
      <c r="C23" s="6">
        <f>SUMIF('Sprint Plani'!$A$4:$A$65,$A23,'Sprint Plani'!$H$4:$H$65)</f>
        <v>36</v>
      </c>
      <c r="D23" s="6">
        <f>SUMIFS('Sprint Plani'!$H$4:$H$65,'Sprint Plani'!$A$4:$A$65,$A23,'Sprint Plani'!$K$4:$K$65,"Tamamlandı")</f>
        <v>36</v>
      </c>
      <c r="E23" s="7">
        <f>IFERROR($D23/$C23,0)</f>
        <v>1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Plani'!$A$4:$A$65,$A24)</f>
        <v>22</v>
      </c>
      <c r="C24" s="6">
        <f>SUMIF('Sprint Plani'!$A$4:$A$65,$A24,'Sprint Plani'!$H$4:$H$65)</f>
        <v>49</v>
      </c>
      <c r="D24" s="6">
        <f>SUMIFS('Sprint Plani'!$H$4:$H$65,'Sprint Plani'!$A$4:$A$65,$A24,'Sprint Plani'!$K$4:$K$65,"Tamamlandı")</f>
        <v>13</v>
      </c>
      <c r="E24" s="7">
        <f>IFERROR($D24/$C24,0)</f>
        <v>0.26530612244897961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Plani'!$A$4:$A$65,$A25)</f>
        <v>23</v>
      </c>
      <c r="C25" s="6">
        <f>SUMIF('Sprint Plani'!$A$4:$A$65,$A25,'Sprint Plani'!$H$4:$H$65)</f>
        <v>44.5</v>
      </c>
      <c r="D25" s="6">
        <f>SUMIFS('Sprint Plani'!$H$4:$H$65,'Sprint Plani'!$A$4:$A$65,$A25,'Sprint Plani'!$K$4:$K$65,"Tamamlandı")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62</v>
      </c>
      <c r="C26" s="10">
        <f>SUM(C23:C25)</f>
        <v>129.5</v>
      </c>
      <c r="D26" s="10">
        <f>SUM(D23:D25)</f>
        <v>49</v>
      </c>
      <c r="E26" s="11">
        <f>IFERROR(D26/C26,0)</f>
        <v>0.3783783783783784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Plani'!$B$4:$B$65,$A30)</f>
        <v>4</v>
      </c>
      <c r="C30" s="15">
        <f>SUMIF('Sprint Plani'!$B$4:$B$65,$A30,'Sprint Plani'!$H$4:$H$65)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Plani'!$B$4:$B$65,$A31)</f>
        <v>4</v>
      </c>
      <c r="C31" s="15">
        <f>SUMIF('Sprint Plani'!$B$4:$B$65,$A31,'Sprint Plani'!$H$4:$H$65)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Plani'!$B$4:$B$65,$A32)</f>
        <v>4</v>
      </c>
      <c r="C32" s="15">
        <f>SUMIF('Sprint Plani'!$B$4:$B$65,$A32,'Sprint Plani'!$H$4:$H$65)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Plani'!$B$4:$B$65,$A33)</f>
        <v>5</v>
      </c>
      <c r="C33" s="15">
        <f>SUMIF('Sprint Plani'!$B$4:$B$65,$A33,'Sprint Plani'!$H$4:$H$65)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Plani'!$B$4:$B$65,$A34)</f>
        <v>6</v>
      </c>
      <c r="C34" s="15">
        <f>SUMIF('Sprint Plani'!$B$4:$B$65,$A34,'Sprint Plani'!$H$4:$H$65)</f>
        <v>13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Plani'!$B$4:$B$65,$A35)</f>
        <v>4</v>
      </c>
      <c r="C35" s="15">
        <f>SUMIF('Sprint Plani'!$B$4:$B$65,$A35,'Sprint Plani'!$H$4:$H$65)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Plani'!$B$4:$B$65,$A36)</f>
        <v>4</v>
      </c>
      <c r="C36" s="15">
        <f>SUMIF('Sprint Plani'!$B$4:$B$65,$A36,'Sprint Plani'!$H$4:$H$65)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Plani'!$B$4:$B$65,$A37)</f>
        <v>4</v>
      </c>
      <c r="C37" s="15">
        <f>SUMIF('Sprint Plani'!$B$4:$B$65,$A37,'Sprint Plani'!$H$4:$H$65)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Plani'!$B$4:$B$65,$A38)</f>
        <v>4</v>
      </c>
      <c r="C38" s="15">
        <f>SUMIF('Sprint Plani'!$B$4:$B$65,$A38,'Sprint Plani'!$H$4:$H$65)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Plani'!$B$4:$B$65,$A39)</f>
        <v>4</v>
      </c>
      <c r="C39" s="15">
        <f>SUMIF('Sprint Plani'!$B$4:$B$65,$A39,'Sprint Plani'!$H$4:$H$65)</f>
        <v>8.5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Plani'!$B$4:$B$65,$A40)</f>
        <v>5</v>
      </c>
      <c r="C40" s="15">
        <f>SUMIF('Sprint Plani'!$B$4:$B$65,$A40,'Sprint Plani'!$H$4:$H$65)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Plani'!$B$4:$B$65,$A41)</f>
        <v>4</v>
      </c>
      <c r="C41" s="15">
        <f>SUMIF('Sprint Plani'!$B$4:$B$65,$A41,'Sprint Plani'!$H$4:$H$65)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Plani'!$B$4:$B$65,$A42)</f>
        <v>5</v>
      </c>
      <c r="C42" s="15">
        <f>SUMIF('Sprint Plani'!$B$4:$B$65,$A42,'Sprint Plani'!$H$4:$H$65)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Plani'!$B$4:$B$65,$A43)</f>
        <v>5</v>
      </c>
      <c r="C43" s="15">
        <f>SUMIF('Sprint Plani'!$B$4:$B$65,$A43,'Sprint Plani'!$H$4:$H$65)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8" t="s">
        <v>81</v>
      </c>
      <c r="B46" s="33"/>
      <c r="C46" s="33"/>
      <c r="D46" s="33"/>
      <c r="E46" s="33"/>
      <c r="F46" s="33"/>
    </row>
    <row r="47" spans="1:6" ht="25.05" customHeight="1" x14ac:dyDescent="0.3">
      <c r="A47" s="38" t="s">
        <v>82</v>
      </c>
      <c r="B47" s="33"/>
      <c r="C47" s="33"/>
      <c r="D47" s="33"/>
      <c r="E47" s="33"/>
      <c r="F47" s="33"/>
    </row>
    <row r="48" spans="1:6" ht="25.05" customHeight="1" x14ac:dyDescent="0.3">
      <c r="A48" s="38" t="s">
        <v>83</v>
      </c>
      <c r="B48" s="33"/>
      <c r="C48" s="33"/>
      <c r="D48" s="33"/>
      <c r="E48" s="33"/>
      <c r="F48" s="33"/>
    </row>
    <row r="49" spans="1:6" ht="25.05" customHeight="1" x14ac:dyDescent="0.3">
      <c r="A49" s="38" t="s">
        <v>84</v>
      </c>
      <c r="B49" s="33"/>
      <c r="C49" s="33"/>
      <c r="D49" s="33"/>
      <c r="E49" s="33"/>
      <c r="F49" s="33"/>
    </row>
    <row r="50" spans="1:6" ht="25.05" customHeight="1" x14ac:dyDescent="0.3">
      <c r="A50" s="38" t="s">
        <v>85</v>
      </c>
      <c r="B50" s="33"/>
      <c r="C50" s="33"/>
      <c r="D50" s="33"/>
      <c r="E50" s="33"/>
      <c r="F50" s="33"/>
    </row>
    <row r="51" spans="1:6" ht="13.95" customHeight="1" x14ac:dyDescent="0.3">
      <c r="A51" s="38" t="s">
        <v>86</v>
      </c>
      <c r="B51" s="33"/>
      <c r="C51" s="33"/>
      <c r="D51" s="33"/>
      <c r="E51" s="33"/>
      <c r="F51" s="33"/>
    </row>
    <row r="52" spans="1:6" ht="25.05" customHeight="1" x14ac:dyDescent="0.3">
      <c r="A52" s="38" t="s">
        <v>87</v>
      </c>
      <c r="B52" s="33"/>
      <c r="C52" s="33"/>
      <c r="D52" s="33"/>
      <c r="E52" s="33"/>
      <c r="F52" s="33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A50:F50"/>
    <mergeCell ref="B18:F18"/>
    <mergeCell ref="B17:F17"/>
    <mergeCell ref="B13:F13"/>
    <mergeCell ref="B6:F6"/>
    <mergeCell ref="B7:F7"/>
    <mergeCell ref="A46:F46"/>
    <mergeCell ref="B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1"/>
  <sheetViews>
    <sheetView showGridLines="0" tabSelected="1" workbookViewId="0">
      <pane xSplit="4" ySplit="3" topLeftCell="F24" activePane="bottomRight" state="frozen"/>
      <selection pane="topRight"/>
      <selection pane="bottomLeft"/>
      <selection pane="bottomRight" activeCell="J27" sqref="J27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2" t="s">
        <v>88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4" customHeight="1" x14ac:dyDescent="0.3">
      <c r="A2" s="35" t="s">
        <v>89</v>
      </c>
      <c r="B2" s="33"/>
      <c r="C2" s="33"/>
      <c r="D2" s="33"/>
      <c r="E2" s="33"/>
      <c r="F2" s="33"/>
      <c r="G2" s="33"/>
      <c r="H2" s="33"/>
      <c r="I2" s="33"/>
      <c r="J2" s="33"/>
      <c r="K2" s="33"/>
    </row>
    <row r="3" spans="1:11" ht="31.95" customHeight="1" x14ac:dyDescent="0.3">
      <c r="A3" s="3" t="s">
        <v>722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721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721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721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721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721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721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721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721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721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721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721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721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721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721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721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721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721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721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721</v>
      </c>
    </row>
    <row r="23" spans="1:11" s="29" customFormat="1" ht="41.85" customHeight="1" x14ac:dyDescent="0.3">
      <c r="A23" s="28" t="s">
        <v>42</v>
      </c>
      <c r="B23" s="28" t="s">
        <v>60</v>
      </c>
      <c r="C23" s="28" t="s">
        <v>723</v>
      </c>
      <c r="D23" s="28" t="s">
        <v>724</v>
      </c>
      <c r="E23" s="28" t="s">
        <v>725</v>
      </c>
      <c r="F23" s="31" t="s">
        <v>726</v>
      </c>
      <c r="G23" s="28" t="s">
        <v>727</v>
      </c>
      <c r="H23" s="18">
        <v>4</v>
      </c>
      <c r="I23" s="18" t="s">
        <v>104</v>
      </c>
      <c r="J23" s="18" t="s">
        <v>186</v>
      </c>
      <c r="K23" s="18" t="s">
        <v>721</v>
      </c>
    </row>
    <row r="24" spans="1:11" ht="79.650000000000006" customHeight="1" x14ac:dyDescent="0.3">
      <c r="A24" s="18" t="s">
        <v>42</v>
      </c>
      <c r="B24" s="18" t="s">
        <v>60</v>
      </c>
      <c r="C24" s="18" t="s">
        <v>190</v>
      </c>
      <c r="D24" s="19" t="s">
        <v>191</v>
      </c>
      <c r="E24" s="19" t="s">
        <v>192</v>
      </c>
      <c r="F24" s="19" t="s">
        <v>193</v>
      </c>
      <c r="G24" s="19" t="s">
        <v>194</v>
      </c>
      <c r="H24" s="18">
        <v>3.5</v>
      </c>
      <c r="I24" s="18" t="s">
        <v>104</v>
      </c>
      <c r="J24" s="18" t="s">
        <v>723</v>
      </c>
      <c r="K24" s="18" t="s">
        <v>721</v>
      </c>
    </row>
    <row r="25" spans="1:11" ht="54.45" customHeight="1" x14ac:dyDescent="0.3">
      <c r="A25" s="16" t="s">
        <v>42</v>
      </c>
      <c r="B25" s="16" t="s">
        <v>60</v>
      </c>
      <c r="C25" s="16" t="s">
        <v>195</v>
      </c>
      <c r="D25" s="17" t="s">
        <v>196</v>
      </c>
      <c r="E25" s="17" t="s">
        <v>197</v>
      </c>
      <c r="F25" s="17" t="s">
        <v>198</v>
      </c>
      <c r="G25" s="17" t="s">
        <v>199</v>
      </c>
      <c r="H25" s="16">
        <v>1</v>
      </c>
      <c r="I25" s="16" t="s">
        <v>155</v>
      </c>
      <c r="J25" s="16" t="s">
        <v>190</v>
      </c>
      <c r="K25" s="16" t="s">
        <v>721</v>
      </c>
    </row>
    <row r="26" spans="1:11" ht="41.85" customHeight="1" x14ac:dyDescent="0.3">
      <c r="A26" s="18" t="s">
        <v>42</v>
      </c>
      <c r="B26" s="18" t="s">
        <v>60</v>
      </c>
      <c r="C26" s="18" t="s">
        <v>200</v>
      </c>
      <c r="D26" s="19" t="s">
        <v>167</v>
      </c>
      <c r="E26" s="19" t="s">
        <v>201</v>
      </c>
      <c r="F26" s="19" t="s">
        <v>202</v>
      </c>
      <c r="G26" s="19" t="s">
        <v>203</v>
      </c>
      <c r="H26" s="18">
        <v>1</v>
      </c>
      <c r="I26" s="18" t="s">
        <v>104</v>
      </c>
      <c r="J26" s="18" t="s">
        <v>190</v>
      </c>
      <c r="K26" s="18" t="s">
        <v>721</v>
      </c>
    </row>
    <row r="27" spans="1:11" ht="67.05" customHeight="1" x14ac:dyDescent="0.3">
      <c r="A27" s="16" t="s">
        <v>42</v>
      </c>
      <c r="B27" s="16" t="s">
        <v>62</v>
      </c>
      <c r="C27" s="16" t="s">
        <v>204</v>
      </c>
      <c r="D27" s="17" t="s">
        <v>205</v>
      </c>
      <c r="E27" s="17" t="s">
        <v>206</v>
      </c>
      <c r="F27" s="17" t="s">
        <v>207</v>
      </c>
      <c r="G27" s="17" t="s">
        <v>208</v>
      </c>
      <c r="H27" s="16">
        <v>3</v>
      </c>
      <c r="I27" s="16" t="s">
        <v>104</v>
      </c>
      <c r="J27" s="16" t="s">
        <v>176</v>
      </c>
      <c r="K27" s="16" t="s">
        <v>106</v>
      </c>
    </row>
    <row r="28" spans="1:11" ht="79.650000000000006" customHeight="1" x14ac:dyDescent="0.3">
      <c r="A28" s="18" t="s">
        <v>42</v>
      </c>
      <c r="B28" s="18" t="s">
        <v>62</v>
      </c>
      <c r="C28" s="18" t="s">
        <v>209</v>
      </c>
      <c r="D28" s="19" t="s">
        <v>205</v>
      </c>
      <c r="E28" s="19" t="s">
        <v>210</v>
      </c>
      <c r="F28" s="19" t="s">
        <v>211</v>
      </c>
      <c r="G28" s="19" t="s">
        <v>212</v>
      </c>
      <c r="H28" s="18">
        <v>2</v>
      </c>
      <c r="I28" s="18" t="s">
        <v>104</v>
      </c>
      <c r="J28" s="18" t="s">
        <v>204</v>
      </c>
      <c r="K28" s="18" t="s">
        <v>106</v>
      </c>
    </row>
    <row r="29" spans="1:11" ht="54.45" customHeight="1" x14ac:dyDescent="0.3">
      <c r="A29" s="16" t="s">
        <v>42</v>
      </c>
      <c r="B29" s="16" t="s">
        <v>62</v>
      </c>
      <c r="C29" s="16" t="s">
        <v>213</v>
      </c>
      <c r="D29" s="17" t="s">
        <v>205</v>
      </c>
      <c r="E29" s="17" t="s">
        <v>214</v>
      </c>
      <c r="F29" s="17" t="s">
        <v>215</v>
      </c>
      <c r="G29" s="17" t="s">
        <v>216</v>
      </c>
      <c r="H29" s="16">
        <v>2</v>
      </c>
      <c r="I29" s="16" t="s">
        <v>155</v>
      </c>
      <c r="J29" s="16" t="s">
        <v>209</v>
      </c>
      <c r="K29" s="16" t="s">
        <v>106</v>
      </c>
    </row>
    <row r="30" spans="1:11" ht="54.45" customHeight="1" x14ac:dyDescent="0.3">
      <c r="A30" s="18" t="s">
        <v>42</v>
      </c>
      <c r="B30" s="18" t="s">
        <v>62</v>
      </c>
      <c r="C30" s="18" t="s">
        <v>217</v>
      </c>
      <c r="D30" s="19" t="s">
        <v>205</v>
      </c>
      <c r="E30" s="19" t="s">
        <v>218</v>
      </c>
      <c r="F30" s="19" t="s">
        <v>219</v>
      </c>
      <c r="G30" s="19" t="s">
        <v>220</v>
      </c>
      <c r="H30" s="18">
        <v>2</v>
      </c>
      <c r="I30" s="18" t="s">
        <v>155</v>
      </c>
      <c r="J30" s="18" t="s">
        <v>213</v>
      </c>
      <c r="K30" s="18" t="s">
        <v>106</v>
      </c>
    </row>
    <row r="31" spans="1:11" ht="54.45" customHeight="1" x14ac:dyDescent="0.3">
      <c r="A31" s="16" t="s">
        <v>42</v>
      </c>
      <c r="B31" s="16" t="s">
        <v>64</v>
      </c>
      <c r="C31" s="16" t="s">
        <v>221</v>
      </c>
      <c r="D31" s="17" t="s">
        <v>222</v>
      </c>
      <c r="E31" s="17" t="s">
        <v>223</v>
      </c>
      <c r="F31" s="17" t="s">
        <v>224</v>
      </c>
      <c r="G31" s="17" t="s">
        <v>225</v>
      </c>
      <c r="H31" s="16">
        <v>3</v>
      </c>
      <c r="I31" s="16" t="s">
        <v>104</v>
      </c>
      <c r="J31" s="16" t="s">
        <v>176</v>
      </c>
      <c r="K31" s="16" t="s">
        <v>106</v>
      </c>
    </row>
    <row r="32" spans="1:11" ht="54.45" customHeight="1" x14ac:dyDescent="0.3">
      <c r="A32" s="18" t="s">
        <v>42</v>
      </c>
      <c r="B32" s="18" t="s">
        <v>64</v>
      </c>
      <c r="C32" s="18" t="s">
        <v>226</v>
      </c>
      <c r="D32" s="19" t="s">
        <v>222</v>
      </c>
      <c r="E32" s="19" t="s">
        <v>227</v>
      </c>
      <c r="F32" s="19" t="s">
        <v>228</v>
      </c>
      <c r="G32" s="19" t="s">
        <v>229</v>
      </c>
      <c r="H32" s="18">
        <v>1.5</v>
      </c>
      <c r="I32" s="18" t="s">
        <v>155</v>
      </c>
      <c r="J32" s="18" t="s">
        <v>221</v>
      </c>
      <c r="K32" s="18" t="s">
        <v>106</v>
      </c>
    </row>
    <row r="33" spans="1:11" ht="54.45" customHeight="1" x14ac:dyDescent="0.3">
      <c r="A33" s="16" t="s">
        <v>42</v>
      </c>
      <c r="B33" s="16" t="s">
        <v>64</v>
      </c>
      <c r="C33" s="16" t="s">
        <v>230</v>
      </c>
      <c r="D33" s="17" t="s">
        <v>222</v>
      </c>
      <c r="E33" s="17" t="s">
        <v>231</v>
      </c>
      <c r="F33" s="17" t="s">
        <v>232</v>
      </c>
      <c r="G33" s="17" t="s">
        <v>233</v>
      </c>
      <c r="H33" s="16">
        <v>2</v>
      </c>
      <c r="I33" s="16" t="s">
        <v>104</v>
      </c>
      <c r="J33" s="16" t="s">
        <v>221</v>
      </c>
      <c r="K33" s="16" t="s">
        <v>106</v>
      </c>
    </row>
    <row r="34" spans="1:11" ht="67.05" customHeight="1" x14ac:dyDescent="0.3">
      <c r="A34" s="18" t="s">
        <v>42</v>
      </c>
      <c r="B34" s="18" t="s">
        <v>64</v>
      </c>
      <c r="C34" s="18" t="s">
        <v>234</v>
      </c>
      <c r="D34" s="19" t="s">
        <v>222</v>
      </c>
      <c r="E34" s="19" t="s">
        <v>235</v>
      </c>
      <c r="F34" s="19" t="s">
        <v>236</v>
      </c>
      <c r="G34" s="19" t="s">
        <v>237</v>
      </c>
      <c r="H34" s="18">
        <v>2.5</v>
      </c>
      <c r="I34" s="18" t="s">
        <v>104</v>
      </c>
      <c r="J34" s="18" t="s">
        <v>230</v>
      </c>
      <c r="K34" s="18" t="s">
        <v>106</v>
      </c>
    </row>
    <row r="35" spans="1:11" ht="67.05" customHeight="1" x14ac:dyDescent="0.3">
      <c r="A35" s="16" t="s">
        <v>42</v>
      </c>
      <c r="B35" s="16" t="s">
        <v>66</v>
      </c>
      <c r="C35" s="16" t="s">
        <v>238</v>
      </c>
      <c r="D35" s="17" t="s">
        <v>196</v>
      </c>
      <c r="E35" s="17" t="s">
        <v>239</v>
      </c>
      <c r="F35" s="17" t="s">
        <v>240</v>
      </c>
      <c r="G35" s="17" t="s">
        <v>241</v>
      </c>
      <c r="H35" s="16">
        <v>3</v>
      </c>
      <c r="I35" s="16" t="s">
        <v>104</v>
      </c>
      <c r="J35" s="16" t="s">
        <v>176</v>
      </c>
      <c r="K35" s="16" t="s">
        <v>106</v>
      </c>
    </row>
    <row r="36" spans="1:11" ht="79.650000000000006" customHeight="1" x14ac:dyDescent="0.3">
      <c r="A36" s="18" t="s">
        <v>42</v>
      </c>
      <c r="B36" s="18" t="s">
        <v>66</v>
      </c>
      <c r="C36" s="18" t="s">
        <v>242</v>
      </c>
      <c r="D36" s="19" t="s">
        <v>196</v>
      </c>
      <c r="E36" s="19" t="s">
        <v>243</v>
      </c>
      <c r="F36" s="19" t="s">
        <v>244</v>
      </c>
      <c r="G36" s="19" t="s">
        <v>245</v>
      </c>
      <c r="H36" s="18">
        <v>3</v>
      </c>
      <c r="I36" s="18" t="s">
        <v>104</v>
      </c>
      <c r="J36" s="18" t="s">
        <v>238</v>
      </c>
      <c r="K36" s="18" t="s">
        <v>106</v>
      </c>
    </row>
    <row r="37" spans="1:11" ht="54.45" customHeight="1" x14ac:dyDescent="0.3">
      <c r="A37" s="16" t="s">
        <v>42</v>
      </c>
      <c r="B37" s="16" t="s">
        <v>66</v>
      </c>
      <c r="C37" s="16" t="s">
        <v>246</v>
      </c>
      <c r="D37" s="17" t="s">
        <v>196</v>
      </c>
      <c r="E37" s="17" t="s">
        <v>247</v>
      </c>
      <c r="F37" s="17" t="s">
        <v>248</v>
      </c>
      <c r="G37" s="17" t="s">
        <v>249</v>
      </c>
      <c r="H37" s="16">
        <v>2</v>
      </c>
      <c r="I37" s="16" t="s">
        <v>155</v>
      </c>
      <c r="J37" s="16" t="s">
        <v>242</v>
      </c>
      <c r="K37" s="16" t="s">
        <v>106</v>
      </c>
    </row>
    <row r="38" spans="1:11" ht="54.45" customHeight="1" x14ac:dyDescent="0.3">
      <c r="A38" s="18" t="s">
        <v>42</v>
      </c>
      <c r="B38" s="18" t="s">
        <v>66</v>
      </c>
      <c r="C38" s="18" t="s">
        <v>250</v>
      </c>
      <c r="D38" s="19" t="s">
        <v>196</v>
      </c>
      <c r="E38" s="19" t="s">
        <v>251</v>
      </c>
      <c r="F38" s="19" t="s">
        <v>252</v>
      </c>
      <c r="G38" s="19" t="s">
        <v>253</v>
      </c>
      <c r="H38" s="18">
        <v>1</v>
      </c>
      <c r="I38" s="18" t="s">
        <v>254</v>
      </c>
      <c r="J38" s="18" t="s">
        <v>246</v>
      </c>
      <c r="K38" s="18" t="s">
        <v>106</v>
      </c>
    </row>
    <row r="39" spans="1:11" ht="67.05" customHeight="1" x14ac:dyDescent="0.3">
      <c r="A39" s="16" t="s">
        <v>42</v>
      </c>
      <c r="B39" s="16" t="s">
        <v>68</v>
      </c>
      <c r="C39" s="16" t="s">
        <v>255</v>
      </c>
      <c r="D39" s="17" t="s">
        <v>256</v>
      </c>
      <c r="E39" s="17" t="s">
        <v>257</v>
      </c>
      <c r="F39" s="17" t="s">
        <v>258</v>
      </c>
      <c r="G39" s="17" t="s">
        <v>259</v>
      </c>
      <c r="H39" s="16">
        <v>2.5</v>
      </c>
      <c r="I39" s="16" t="s">
        <v>104</v>
      </c>
      <c r="J39" s="16" t="s">
        <v>176</v>
      </c>
      <c r="K39" s="16" t="s">
        <v>106</v>
      </c>
    </row>
    <row r="40" spans="1:11" ht="79.650000000000006" customHeight="1" x14ac:dyDescent="0.3">
      <c r="A40" s="18" t="s">
        <v>42</v>
      </c>
      <c r="B40" s="18" t="s">
        <v>68</v>
      </c>
      <c r="C40" s="18" t="s">
        <v>260</v>
      </c>
      <c r="D40" s="19" t="s">
        <v>261</v>
      </c>
      <c r="E40" s="19" t="s">
        <v>262</v>
      </c>
      <c r="F40" s="19" t="s">
        <v>263</v>
      </c>
      <c r="G40" s="19" t="s">
        <v>264</v>
      </c>
      <c r="H40" s="18">
        <v>3</v>
      </c>
      <c r="I40" s="18" t="s">
        <v>104</v>
      </c>
      <c r="J40" s="18" t="s">
        <v>156</v>
      </c>
      <c r="K40" s="18" t="s">
        <v>106</v>
      </c>
    </row>
    <row r="41" spans="1:11" ht="54.45" customHeight="1" x14ac:dyDescent="0.3">
      <c r="A41" s="16" t="s">
        <v>42</v>
      </c>
      <c r="B41" s="16" t="s">
        <v>68</v>
      </c>
      <c r="C41" s="16" t="s">
        <v>265</v>
      </c>
      <c r="D41" s="17" t="s">
        <v>261</v>
      </c>
      <c r="E41" s="17" t="s">
        <v>266</v>
      </c>
      <c r="F41" s="17" t="s">
        <v>267</v>
      </c>
      <c r="G41" s="17" t="s">
        <v>268</v>
      </c>
      <c r="H41" s="16">
        <v>2</v>
      </c>
      <c r="I41" s="16" t="s">
        <v>104</v>
      </c>
      <c r="J41" s="16" t="s">
        <v>260</v>
      </c>
      <c r="K41" s="16" t="s">
        <v>106</v>
      </c>
    </row>
    <row r="42" spans="1:11" ht="67.05" customHeight="1" x14ac:dyDescent="0.3">
      <c r="A42" s="18" t="s">
        <v>42</v>
      </c>
      <c r="B42" s="18" t="s">
        <v>68</v>
      </c>
      <c r="C42" s="18" t="s">
        <v>269</v>
      </c>
      <c r="D42" s="19" t="s">
        <v>270</v>
      </c>
      <c r="E42" s="19" t="s">
        <v>271</v>
      </c>
      <c r="F42" s="19" t="s">
        <v>272</v>
      </c>
      <c r="G42" s="19" t="s">
        <v>273</v>
      </c>
      <c r="H42" s="18">
        <v>1.5</v>
      </c>
      <c r="I42" s="18" t="s">
        <v>155</v>
      </c>
      <c r="J42" s="18" t="s">
        <v>217</v>
      </c>
      <c r="K42" s="18" t="s">
        <v>106</v>
      </c>
    </row>
    <row r="43" spans="1:11" ht="79.650000000000006" customHeight="1" x14ac:dyDescent="0.3">
      <c r="A43" s="16" t="s">
        <v>44</v>
      </c>
      <c r="B43" s="16" t="s">
        <v>70</v>
      </c>
      <c r="C43" s="16" t="s">
        <v>274</v>
      </c>
      <c r="D43" s="17" t="s">
        <v>275</v>
      </c>
      <c r="E43" s="17" t="s">
        <v>276</v>
      </c>
      <c r="F43" s="17" t="s">
        <v>277</v>
      </c>
      <c r="G43" s="17" t="s">
        <v>278</v>
      </c>
      <c r="H43" s="16">
        <v>3</v>
      </c>
      <c r="I43" s="16" t="s">
        <v>104</v>
      </c>
      <c r="J43" s="16" t="s">
        <v>255</v>
      </c>
      <c r="K43" s="16" t="s">
        <v>106</v>
      </c>
    </row>
    <row r="44" spans="1:11" ht="41.85" customHeight="1" x14ac:dyDescent="0.3">
      <c r="A44" s="18" t="s">
        <v>44</v>
      </c>
      <c r="B44" s="18" t="s">
        <v>70</v>
      </c>
      <c r="C44" s="18" t="s">
        <v>279</v>
      </c>
      <c r="D44" s="19" t="s">
        <v>275</v>
      </c>
      <c r="E44" s="19" t="s">
        <v>280</v>
      </c>
      <c r="F44" s="19" t="s">
        <v>281</v>
      </c>
      <c r="G44" s="19" t="s">
        <v>282</v>
      </c>
      <c r="H44" s="18">
        <v>1.5</v>
      </c>
      <c r="I44" s="18" t="s">
        <v>155</v>
      </c>
      <c r="J44" s="18" t="s">
        <v>274</v>
      </c>
      <c r="K44" s="18" t="s">
        <v>106</v>
      </c>
    </row>
    <row r="45" spans="1:11" ht="67.05" customHeight="1" x14ac:dyDescent="0.3">
      <c r="A45" s="16" t="s">
        <v>44</v>
      </c>
      <c r="B45" s="16" t="s">
        <v>70</v>
      </c>
      <c r="C45" s="16" t="s">
        <v>283</v>
      </c>
      <c r="D45" s="17" t="s">
        <v>275</v>
      </c>
      <c r="E45" s="17" t="s">
        <v>284</v>
      </c>
      <c r="F45" s="17" t="s">
        <v>285</v>
      </c>
      <c r="G45" s="17" t="s">
        <v>286</v>
      </c>
      <c r="H45" s="16">
        <v>2.5</v>
      </c>
      <c r="I45" s="16" t="s">
        <v>104</v>
      </c>
      <c r="J45" s="16" t="s">
        <v>279</v>
      </c>
      <c r="K45" s="16" t="s">
        <v>106</v>
      </c>
    </row>
    <row r="46" spans="1:11" s="29" customFormat="1" ht="67.05" customHeight="1" x14ac:dyDescent="0.3">
      <c r="A46" s="28" t="s">
        <v>44</v>
      </c>
      <c r="B46" s="28" t="s">
        <v>70</v>
      </c>
      <c r="C46" s="28" t="s">
        <v>287</v>
      </c>
      <c r="D46" s="28" t="s">
        <v>121</v>
      </c>
      <c r="E46" s="28" t="s">
        <v>728</v>
      </c>
      <c r="F46" s="28" t="s">
        <v>729</v>
      </c>
      <c r="G46" s="28" t="s">
        <v>730</v>
      </c>
      <c r="H46" s="30">
        <v>1.5</v>
      </c>
      <c r="I46" s="28" t="s">
        <v>155</v>
      </c>
      <c r="J46" s="28" t="s">
        <v>731</v>
      </c>
      <c r="K46" s="28" t="s">
        <v>106</v>
      </c>
    </row>
    <row r="47" spans="1:11" ht="67.05" customHeight="1" x14ac:dyDescent="0.3">
      <c r="A47" s="16" t="s">
        <v>44</v>
      </c>
      <c r="B47" s="16" t="s">
        <v>72</v>
      </c>
      <c r="C47" s="16" t="s">
        <v>288</v>
      </c>
      <c r="D47" s="17" t="s">
        <v>289</v>
      </c>
      <c r="E47" s="17" t="s">
        <v>290</v>
      </c>
      <c r="F47" s="17" t="s">
        <v>291</v>
      </c>
      <c r="G47" s="17" t="s">
        <v>292</v>
      </c>
      <c r="H47" s="16">
        <v>2</v>
      </c>
      <c r="I47" s="16" t="s">
        <v>104</v>
      </c>
      <c r="J47" s="16" t="s">
        <v>255</v>
      </c>
      <c r="K47" s="16" t="s">
        <v>106</v>
      </c>
    </row>
    <row r="48" spans="1:11" ht="54.45" customHeight="1" x14ac:dyDescent="0.3">
      <c r="A48" s="18" t="s">
        <v>44</v>
      </c>
      <c r="B48" s="18" t="s">
        <v>72</v>
      </c>
      <c r="C48" s="18" t="s">
        <v>293</v>
      </c>
      <c r="D48" s="19" t="s">
        <v>294</v>
      </c>
      <c r="E48" s="19" t="s">
        <v>295</v>
      </c>
      <c r="F48" s="19" t="s">
        <v>296</v>
      </c>
      <c r="G48" s="19" t="s">
        <v>297</v>
      </c>
      <c r="H48" s="18">
        <v>2</v>
      </c>
      <c r="I48" s="18" t="s">
        <v>155</v>
      </c>
      <c r="J48" s="18" t="s">
        <v>238</v>
      </c>
      <c r="K48" s="18" t="s">
        <v>106</v>
      </c>
    </row>
    <row r="49" spans="1:11" ht="54.45" customHeight="1" x14ac:dyDescent="0.3">
      <c r="A49" s="16" t="s">
        <v>44</v>
      </c>
      <c r="B49" s="16" t="s">
        <v>72</v>
      </c>
      <c r="C49" s="16" t="s">
        <v>298</v>
      </c>
      <c r="D49" s="17" t="s">
        <v>294</v>
      </c>
      <c r="E49" s="17" t="s">
        <v>299</v>
      </c>
      <c r="F49" s="17" t="s">
        <v>300</v>
      </c>
      <c r="G49" s="17" t="s">
        <v>301</v>
      </c>
      <c r="H49" s="16">
        <v>2</v>
      </c>
      <c r="I49" s="16" t="s">
        <v>155</v>
      </c>
      <c r="J49" s="16" t="s">
        <v>293</v>
      </c>
      <c r="K49" s="16" t="s">
        <v>106</v>
      </c>
    </row>
    <row r="50" spans="1:11" ht="54.45" customHeight="1" x14ac:dyDescent="0.3">
      <c r="A50" s="18" t="s">
        <v>44</v>
      </c>
      <c r="B50" s="18" t="s">
        <v>72</v>
      </c>
      <c r="C50" s="18" t="s">
        <v>302</v>
      </c>
      <c r="D50" s="19" t="s">
        <v>294</v>
      </c>
      <c r="E50" s="19" t="s">
        <v>303</v>
      </c>
      <c r="F50" s="19" t="s">
        <v>304</v>
      </c>
      <c r="G50" s="19" t="s">
        <v>305</v>
      </c>
      <c r="H50" s="18">
        <v>1.5</v>
      </c>
      <c r="I50" s="18" t="s">
        <v>254</v>
      </c>
      <c r="J50" s="18" t="s">
        <v>298</v>
      </c>
      <c r="K50" s="18" t="s">
        <v>106</v>
      </c>
    </row>
    <row r="51" spans="1:11" ht="54.45" customHeight="1" x14ac:dyDescent="0.3">
      <c r="A51" s="16" t="s">
        <v>44</v>
      </c>
      <c r="B51" s="16" t="s">
        <v>72</v>
      </c>
      <c r="C51" s="16" t="s">
        <v>306</v>
      </c>
      <c r="D51" s="17" t="s">
        <v>307</v>
      </c>
      <c r="E51" s="17" t="s">
        <v>308</v>
      </c>
      <c r="F51" s="17" t="s">
        <v>309</v>
      </c>
      <c r="G51" s="17" t="s">
        <v>310</v>
      </c>
      <c r="H51" s="16">
        <v>1.5</v>
      </c>
      <c r="I51" s="16" t="s">
        <v>254</v>
      </c>
      <c r="J51" s="16" t="s">
        <v>302</v>
      </c>
      <c r="K51" s="16" t="s">
        <v>106</v>
      </c>
    </row>
    <row r="52" spans="1:11" ht="54.45" customHeight="1" x14ac:dyDescent="0.3">
      <c r="A52" s="18" t="s">
        <v>44</v>
      </c>
      <c r="B52" s="18" t="s">
        <v>74</v>
      </c>
      <c r="C52" s="18" t="s">
        <v>311</v>
      </c>
      <c r="D52" s="19" t="s">
        <v>312</v>
      </c>
      <c r="E52" s="19" t="s">
        <v>313</v>
      </c>
      <c r="F52" s="19" t="s">
        <v>314</v>
      </c>
      <c r="G52" s="19" t="s">
        <v>315</v>
      </c>
      <c r="H52" s="18">
        <v>3</v>
      </c>
      <c r="I52" s="18" t="s">
        <v>155</v>
      </c>
      <c r="J52" s="18" t="s">
        <v>288</v>
      </c>
      <c r="K52" s="18" t="s">
        <v>106</v>
      </c>
    </row>
    <row r="53" spans="1:11" ht="54.45" customHeight="1" x14ac:dyDescent="0.3">
      <c r="A53" s="16" t="s">
        <v>44</v>
      </c>
      <c r="B53" s="16" t="s">
        <v>74</v>
      </c>
      <c r="C53" s="16" t="s">
        <v>316</v>
      </c>
      <c r="D53" s="17" t="s">
        <v>317</v>
      </c>
      <c r="E53" s="17" t="s">
        <v>318</v>
      </c>
      <c r="F53" s="17" t="s">
        <v>319</v>
      </c>
      <c r="G53" s="17" t="s">
        <v>320</v>
      </c>
      <c r="H53" s="16">
        <v>2</v>
      </c>
      <c r="I53" s="16" t="s">
        <v>155</v>
      </c>
      <c r="J53" s="16" t="s">
        <v>116</v>
      </c>
      <c r="K53" s="16" t="s">
        <v>106</v>
      </c>
    </row>
    <row r="54" spans="1:11" ht="67.05" customHeight="1" x14ac:dyDescent="0.3">
      <c r="A54" s="18" t="s">
        <v>44</v>
      </c>
      <c r="B54" s="18" t="s">
        <v>74</v>
      </c>
      <c r="C54" s="18" t="s">
        <v>321</v>
      </c>
      <c r="D54" s="19" t="s">
        <v>312</v>
      </c>
      <c r="E54" s="19" t="s">
        <v>322</v>
      </c>
      <c r="F54" s="19" t="s">
        <v>323</v>
      </c>
      <c r="G54" s="19" t="s">
        <v>324</v>
      </c>
      <c r="H54" s="18">
        <v>2.5</v>
      </c>
      <c r="I54" s="18" t="s">
        <v>104</v>
      </c>
      <c r="J54" s="18" t="s">
        <v>306</v>
      </c>
      <c r="K54" s="18" t="s">
        <v>106</v>
      </c>
    </row>
    <row r="55" spans="1:11" ht="54.45" customHeight="1" x14ac:dyDescent="0.3">
      <c r="A55" s="16" t="s">
        <v>44</v>
      </c>
      <c r="B55" s="16" t="s">
        <v>74</v>
      </c>
      <c r="C55" s="16" t="s">
        <v>325</v>
      </c>
      <c r="D55" s="17" t="s">
        <v>326</v>
      </c>
      <c r="E55" s="17" t="s">
        <v>327</v>
      </c>
      <c r="F55" s="17" t="s">
        <v>328</v>
      </c>
      <c r="G55" s="17" t="s">
        <v>329</v>
      </c>
      <c r="H55" s="16">
        <v>1.5</v>
      </c>
      <c r="I55" s="16" t="s">
        <v>155</v>
      </c>
      <c r="J55" s="16" t="s">
        <v>311</v>
      </c>
      <c r="K55" s="16" t="s">
        <v>106</v>
      </c>
    </row>
    <row r="56" spans="1:11" ht="67.05" customHeight="1" x14ac:dyDescent="0.3">
      <c r="A56" s="18" t="s">
        <v>44</v>
      </c>
      <c r="B56" s="18" t="s">
        <v>76</v>
      </c>
      <c r="C56" s="18" t="s">
        <v>330</v>
      </c>
      <c r="D56" s="19" t="s">
        <v>331</v>
      </c>
      <c r="E56" s="19" t="s">
        <v>332</v>
      </c>
      <c r="F56" s="19" t="s">
        <v>333</v>
      </c>
      <c r="G56" s="19" t="s">
        <v>334</v>
      </c>
      <c r="H56" s="18">
        <v>1.5</v>
      </c>
      <c r="I56" s="18" t="s">
        <v>155</v>
      </c>
      <c r="J56" s="18" t="s">
        <v>321</v>
      </c>
      <c r="K56" s="18" t="s">
        <v>106</v>
      </c>
    </row>
    <row r="57" spans="1:11" ht="54.45" customHeight="1" x14ac:dyDescent="0.3">
      <c r="A57" s="16" t="s">
        <v>44</v>
      </c>
      <c r="B57" s="16" t="s">
        <v>76</v>
      </c>
      <c r="C57" s="16" t="s">
        <v>335</v>
      </c>
      <c r="D57" s="17" t="s">
        <v>336</v>
      </c>
      <c r="E57" s="17" t="s">
        <v>337</v>
      </c>
      <c r="F57" s="17" t="s">
        <v>338</v>
      </c>
      <c r="G57" s="17" t="s">
        <v>339</v>
      </c>
      <c r="H57" s="16">
        <v>2.5</v>
      </c>
      <c r="I57" s="16" t="s">
        <v>104</v>
      </c>
      <c r="J57" s="16" t="s">
        <v>321</v>
      </c>
      <c r="K57" s="16" t="s">
        <v>106</v>
      </c>
    </row>
    <row r="58" spans="1:11" ht="54.45" customHeight="1" x14ac:dyDescent="0.3">
      <c r="A58" s="18" t="s">
        <v>44</v>
      </c>
      <c r="B58" s="18" t="s">
        <v>76</v>
      </c>
      <c r="C58" s="18" t="s">
        <v>340</v>
      </c>
      <c r="D58" s="19" t="s">
        <v>341</v>
      </c>
      <c r="E58" s="19" t="s">
        <v>342</v>
      </c>
      <c r="F58" s="19" t="s">
        <v>343</v>
      </c>
      <c r="G58" s="19" t="s">
        <v>344</v>
      </c>
      <c r="H58" s="18">
        <v>2</v>
      </c>
      <c r="I58" s="18" t="s">
        <v>155</v>
      </c>
      <c r="J58" s="18" t="s">
        <v>335</v>
      </c>
      <c r="K58" s="18" t="s">
        <v>106</v>
      </c>
    </row>
    <row r="59" spans="1:11" ht="41.85" customHeight="1" x14ac:dyDescent="0.3">
      <c r="A59" s="16" t="s">
        <v>44</v>
      </c>
      <c r="B59" s="16" t="s">
        <v>76</v>
      </c>
      <c r="C59" s="16" t="s">
        <v>345</v>
      </c>
      <c r="D59" s="17" t="s">
        <v>341</v>
      </c>
      <c r="E59" s="17" t="s">
        <v>346</v>
      </c>
      <c r="F59" s="17" t="s">
        <v>347</v>
      </c>
      <c r="G59" s="17" t="s">
        <v>348</v>
      </c>
      <c r="H59" s="16">
        <v>1.5</v>
      </c>
      <c r="I59" s="16" t="s">
        <v>155</v>
      </c>
      <c r="J59" s="16" t="s">
        <v>340</v>
      </c>
      <c r="K59" s="16" t="s">
        <v>106</v>
      </c>
    </row>
    <row r="60" spans="1:11" ht="54.45" customHeight="1" x14ac:dyDescent="0.3">
      <c r="A60" s="18" t="s">
        <v>44</v>
      </c>
      <c r="B60" s="18" t="s">
        <v>76</v>
      </c>
      <c r="C60" s="18" t="s">
        <v>349</v>
      </c>
      <c r="D60" s="19" t="s">
        <v>312</v>
      </c>
      <c r="E60" s="19" t="s">
        <v>350</v>
      </c>
      <c r="F60" s="19" t="s">
        <v>351</v>
      </c>
      <c r="G60" s="19" t="s">
        <v>352</v>
      </c>
      <c r="H60" s="18">
        <v>1.5</v>
      </c>
      <c r="I60" s="18" t="s">
        <v>104</v>
      </c>
      <c r="J60" s="18" t="s">
        <v>345</v>
      </c>
      <c r="K60" s="18" t="s">
        <v>106</v>
      </c>
    </row>
    <row r="61" spans="1:11" ht="54.45" customHeight="1" x14ac:dyDescent="0.3">
      <c r="A61" s="16" t="s">
        <v>44</v>
      </c>
      <c r="B61" s="16" t="s">
        <v>78</v>
      </c>
      <c r="C61" s="16" t="s">
        <v>353</v>
      </c>
      <c r="D61" s="17" t="s">
        <v>354</v>
      </c>
      <c r="E61" s="17" t="s">
        <v>355</v>
      </c>
      <c r="F61" s="17" t="s">
        <v>356</v>
      </c>
      <c r="G61" s="17" t="s">
        <v>357</v>
      </c>
      <c r="H61" s="16">
        <v>2</v>
      </c>
      <c r="I61" s="16" t="s">
        <v>155</v>
      </c>
      <c r="J61" s="16" t="s">
        <v>349</v>
      </c>
      <c r="K61" s="16" t="s">
        <v>106</v>
      </c>
    </row>
    <row r="62" spans="1:11" ht="54.45" customHeight="1" x14ac:dyDescent="0.3">
      <c r="A62" s="18" t="s">
        <v>44</v>
      </c>
      <c r="B62" s="18" t="s">
        <v>78</v>
      </c>
      <c r="C62" s="18" t="s">
        <v>358</v>
      </c>
      <c r="D62" s="19" t="s">
        <v>354</v>
      </c>
      <c r="E62" s="19" t="s">
        <v>359</v>
      </c>
      <c r="F62" s="19" t="s">
        <v>360</v>
      </c>
      <c r="G62" s="19" t="s">
        <v>361</v>
      </c>
      <c r="H62" s="18">
        <v>2</v>
      </c>
      <c r="I62" s="18" t="s">
        <v>155</v>
      </c>
      <c r="J62" s="18" t="s">
        <v>353</v>
      </c>
      <c r="K62" s="18" t="s">
        <v>106</v>
      </c>
    </row>
    <row r="63" spans="1:11" ht="54.45" customHeight="1" x14ac:dyDescent="0.3">
      <c r="A63" s="16" t="s">
        <v>44</v>
      </c>
      <c r="B63" s="16" t="s">
        <v>78</v>
      </c>
      <c r="C63" s="16" t="s">
        <v>362</v>
      </c>
      <c r="D63" s="17" t="s">
        <v>363</v>
      </c>
      <c r="E63" s="17" t="s">
        <v>364</v>
      </c>
      <c r="F63" s="17" t="s">
        <v>365</v>
      </c>
      <c r="G63" s="17" t="s">
        <v>366</v>
      </c>
      <c r="H63" s="16">
        <v>2</v>
      </c>
      <c r="I63" s="16" t="s">
        <v>104</v>
      </c>
      <c r="J63" s="16" t="s">
        <v>358</v>
      </c>
      <c r="K63" s="16" t="s">
        <v>106</v>
      </c>
    </row>
    <row r="64" spans="1:11" ht="54.45" customHeight="1" x14ac:dyDescent="0.3">
      <c r="A64" s="18" t="s">
        <v>44</v>
      </c>
      <c r="B64" s="18" t="s">
        <v>78</v>
      </c>
      <c r="C64" s="18" t="s">
        <v>367</v>
      </c>
      <c r="D64" s="19" t="s">
        <v>363</v>
      </c>
      <c r="E64" s="19" t="s">
        <v>368</v>
      </c>
      <c r="F64" s="19" t="s">
        <v>369</v>
      </c>
      <c r="G64" s="19" t="s">
        <v>370</v>
      </c>
      <c r="H64" s="18">
        <v>2</v>
      </c>
      <c r="I64" s="18" t="s">
        <v>104</v>
      </c>
      <c r="J64" s="18" t="s">
        <v>362</v>
      </c>
      <c r="K64" s="18" t="s">
        <v>106</v>
      </c>
    </row>
    <row r="65" spans="1:11" ht="41.85" customHeight="1" x14ac:dyDescent="0.3">
      <c r="A65" s="16" t="s">
        <v>44</v>
      </c>
      <c r="B65" s="16" t="s">
        <v>78</v>
      </c>
      <c r="C65" s="16" t="s">
        <v>371</v>
      </c>
      <c r="D65" s="17" t="s">
        <v>372</v>
      </c>
      <c r="E65" s="17" t="s">
        <v>373</v>
      </c>
      <c r="F65" s="17" t="s">
        <v>374</v>
      </c>
      <c r="G65" s="17" t="s">
        <v>375</v>
      </c>
      <c r="H65" s="16">
        <v>1</v>
      </c>
      <c r="I65" s="16" t="s">
        <v>254</v>
      </c>
      <c r="J65" s="16" t="s">
        <v>105</v>
      </c>
      <c r="K65" s="16" t="s">
        <v>106</v>
      </c>
    </row>
    <row r="66" spans="1:11" ht="19.95" customHeight="1" x14ac:dyDescent="0.3">
      <c r="A66" s="36" t="s">
        <v>46</v>
      </c>
      <c r="B66" s="37"/>
      <c r="C66" s="37"/>
      <c r="D66" s="37"/>
      <c r="E66" s="37"/>
      <c r="F66" s="37"/>
      <c r="G66" s="37"/>
      <c r="H66" s="21">
        <f>SUM(H4:H65)</f>
        <v>129.5</v>
      </c>
      <c r="I66" s="21" t="str">
        <f>COUNTA(C4:C65)&amp;" görev"</f>
        <v>62 görev</v>
      </c>
      <c r="J66" s="20"/>
      <c r="K66" s="20"/>
    </row>
    <row r="68" spans="1:11" ht="13.95" customHeight="1" x14ac:dyDescent="0.3">
      <c r="A68" s="34" t="s">
        <v>376</v>
      </c>
      <c r="B68" s="33"/>
      <c r="C68" s="33"/>
      <c r="D68" s="33"/>
      <c r="E68" s="33"/>
      <c r="F68" s="33"/>
      <c r="G68" s="33"/>
      <c r="H68" s="33"/>
      <c r="I68" s="33"/>
      <c r="J68" s="33"/>
      <c r="K68" s="33"/>
    </row>
    <row r="69" spans="1:11" ht="25.95" customHeight="1" x14ac:dyDescent="0.3">
      <c r="A69" s="34" t="s">
        <v>377</v>
      </c>
      <c r="B69" s="33"/>
      <c r="C69" s="33"/>
      <c r="D69" s="33"/>
      <c r="E69" s="33"/>
      <c r="F69" s="33"/>
      <c r="G69" s="33"/>
      <c r="H69" s="33"/>
      <c r="I69" s="33"/>
      <c r="J69" s="33"/>
      <c r="K69" s="33"/>
    </row>
    <row r="70" spans="1:11" ht="39" customHeight="1" x14ac:dyDescent="0.3">
      <c r="A70" s="34" t="s">
        <v>378</v>
      </c>
      <c r="B70" s="33"/>
      <c r="C70" s="33"/>
      <c r="D70" s="33"/>
      <c r="E70" s="33"/>
      <c r="F70" s="33"/>
      <c r="G70" s="33"/>
      <c r="H70" s="33"/>
      <c r="I70" s="33"/>
      <c r="J70" s="33"/>
      <c r="K70" s="33"/>
    </row>
    <row r="71" spans="1:11" ht="13.95" customHeight="1" x14ac:dyDescent="0.3">
      <c r="A71" s="34" t="s">
        <v>379</v>
      </c>
      <c r="B71" s="33"/>
      <c r="C71" s="33"/>
      <c r="D71" s="33"/>
      <c r="E71" s="33"/>
      <c r="F71" s="33"/>
      <c r="G71" s="33"/>
      <c r="H71" s="33"/>
      <c r="I71" s="33"/>
      <c r="J71" s="33"/>
      <c r="K71" s="33"/>
    </row>
  </sheetData>
  <autoFilter ref="A3:K65" xr:uid="{00000000-0009-0000-0000-000001000000}"/>
  <mergeCells count="7">
    <mergeCell ref="A1:K1"/>
    <mergeCell ref="A71:K71"/>
    <mergeCell ref="A68:K68"/>
    <mergeCell ref="A70:K70"/>
    <mergeCell ref="A2:K2"/>
    <mergeCell ref="A69:K69"/>
    <mergeCell ref="A66:G66"/>
  </mergeCells>
  <conditionalFormatting sqref="I4:I45 I47:I65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45 K47:K65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45 K47:K65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2" t="s">
        <v>380</v>
      </c>
      <c r="B1" s="33"/>
      <c r="C1" s="33"/>
      <c r="D1" s="33"/>
      <c r="E1" s="33"/>
      <c r="F1" s="33"/>
    </row>
    <row r="2" spans="1:6" ht="24" customHeight="1" x14ac:dyDescent="0.3">
      <c r="A2" s="35" t="s">
        <v>381</v>
      </c>
      <c r="B2" s="33"/>
      <c r="C2" s="33"/>
      <c r="D2" s="33"/>
      <c r="E2" s="33"/>
      <c r="F2" s="33"/>
    </row>
    <row r="3" spans="1:6" ht="31.95" customHeight="1" x14ac:dyDescent="0.3">
      <c r="A3" s="3" t="s">
        <v>382</v>
      </c>
      <c r="B3" s="3" t="s">
        <v>383</v>
      </c>
      <c r="C3" s="3" t="s">
        <v>384</v>
      </c>
      <c r="D3" s="3" t="s">
        <v>385</v>
      </c>
      <c r="E3" s="3" t="s">
        <v>386</v>
      </c>
      <c r="F3" s="3" t="s">
        <v>50</v>
      </c>
    </row>
    <row r="4" spans="1:6" ht="16.649999999999999" customHeight="1" x14ac:dyDescent="0.3">
      <c r="A4" s="16">
        <v>1</v>
      </c>
      <c r="B4" s="17" t="s">
        <v>387</v>
      </c>
      <c r="C4" s="16" t="s">
        <v>388</v>
      </c>
      <c r="D4" s="17" t="s">
        <v>389</v>
      </c>
      <c r="E4" s="17" t="s">
        <v>390</v>
      </c>
      <c r="F4" s="16" t="s">
        <v>200</v>
      </c>
    </row>
    <row r="5" spans="1:6" ht="16.649999999999999" customHeight="1" x14ac:dyDescent="0.3">
      <c r="A5" s="18">
        <v>2</v>
      </c>
      <c r="B5" s="19" t="s">
        <v>391</v>
      </c>
      <c r="C5" s="18" t="s">
        <v>388</v>
      </c>
      <c r="D5" s="19" t="s">
        <v>392</v>
      </c>
      <c r="E5" s="19" t="s">
        <v>393</v>
      </c>
      <c r="F5" s="18" t="s">
        <v>186</v>
      </c>
    </row>
    <row r="6" spans="1:6" ht="16.649999999999999" customHeight="1" x14ac:dyDescent="0.3">
      <c r="A6" s="16">
        <v>3</v>
      </c>
      <c r="B6" s="17" t="s">
        <v>394</v>
      </c>
      <c r="C6" s="16" t="s">
        <v>388</v>
      </c>
      <c r="D6" s="17" t="s">
        <v>395</v>
      </c>
      <c r="E6" s="17" t="s">
        <v>396</v>
      </c>
      <c r="F6" s="16" t="s">
        <v>186</v>
      </c>
    </row>
    <row r="7" spans="1:6" ht="16.649999999999999" customHeight="1" x14ac:dyDescent="0.3">
      <c r="A7" s="18">
        <v>4</v>
      </c>
      <c r="B7" s="19" t="s">
        <v>397</v>
      </c>
      <c r="C7" s="18" t="s">
        <v>388</v>
      </c>
      <c r="D7" s="19" t="s">
        <v>398</v>
      </c>
      <c r="E7" s="19" t="s">
        <v>399</v>
      </c>
      <c r="F7" s="18" t="s">
        <v>190</v>
      </c>
    </row>
    <row r="8" spans="1:6" ht="16.649999999999999" customHeight="1" x14ac:dyDescent="0.3">
      <c r="A8" s="16">
        <v>5</v>
      </c>
      <c r="B8" s="17" t="s">
        <v>400</v>
      </c>
      <c r="C8" s="16" t="s">
        <v>388</v>
      </c>
      <c r="D8" s="17" t="s">
        <v>401</v>
      </c>
      <c r="E8" s="17" t="s">
        <v>399</v>
      </c>
      <c r="F8" s="16" t="s">
        <v>190</v>
      </c>
    </row>
    <row r="9" spans="1:6" ht="16.649999999999999" customHeight="1" x14ac:dyDescent="0.3">
      <c r="A9" s="18">
        <v>6</v>
      </c>
      <c r="B9" s="19" t="s">
        <v>402</v>
      </c>
      <c r="C9" s="18" t="s">
        <v>388</v>
      </c>
      <c r="D9" s="19" t="s">
        <v>403</v>
      </c>
      <c r="E9" s="19" t="s">
        <v>399</v>
      </c>
      <c r="F9" s="18" t="s">
        <v>190</v>
      </c>
    </row>
    <row r="10" spans="1:6" ht="16.649999999999999" customHeight="1" x14ac:dyDescent="0.3">
      <c r="A10" s="16">
        <v>7</v>
      </c>
      <c r="B10" s="17" t="s">
        <v>404</v>
      </c>
      <c r="C10" s="16" t="s">
        <v>388</v>
      </c>
      <c r="D10" s="17" t="s">
        <v>405</v>
      </c>
      <c r="E10" s="17" t="s">
        <v>406</v>
      </c>
      <c r="F10" s="16" t="s">
        <v>190</v>
      </c>
    </row>
    <row r="11" spans="1:6" ht="16.649999999999999" customHeight="1" x14ac:dyDescent="0.3">
      <c r="A11" s="18">
        <v>8</v>
      </c>
      <c r="B11" s="19" t="s">
        <v>407</v>
      </c>
      <c r="C11" s="18" t="s">
        <v>408</v>
      </c>
      <c r="D11" s="19" t="s">
        <v>409</v>
      </c>
      <c r="E11" s="19" t="s">
        <v>410</v>
      </c>
      <c r="F11" s="18" t="s">
        <v>204</v>
      </c>
    </row>
    <row r="12" spans="1:6" ht="16.649999999999999" customHeight="1" x14ac:dyDescent="0.3">
      <c r="A12" s="16">
        <v>9</v>
      </c>
      <c r="B12" s="17" t="s">
        <v>411</v>
      </c>
      <c r="C12" s="16" t="s">
        <v>412</v>
      </c>
      <c r="D12" s="17" t="s">
        <v>413</v>
      </c>
      <c r="E12" s="17" t="s">
        <v>414</v>
      </c>
      <c r="F12" s="16" t="s">
        <v>209</v>
      </c>
    </row>
    <row r="13" spans="1:6" ht="16.649999999999999" customHeight="1" x14ac:dyDescent="0.3">
      <c r="A13" s="18">
        <v>10</v>
      </c>
      <c r="B13" s="19" t="s">
        <v>415</v>
      </c>
      <c r="C13" s="18" t="s">
        <v>416</v>
      </c>
      <c r="D13" s="19" t="s">
        <v>417</v>
      </c>
      <c r="E13" s="19" t="s">
        <v>418</v>
      </c>
      <c r="F13" s="18" t="s">
        <v>217</v>
      </c>
    </row>
    <row r="14" spans="1:6" ht="16.649999999999999" customHeight="1" x14ac:dyDescent="0.3">
      <c r="A14" s="16">
        <v>11</v>
      </c>
      <c r="B14" s="17" t="s">
        <v>419</v>
      </c>
      <c r="C14" s="16" t="s">
        <v>420</v>
      </c>
      <c r="D14" s="17" t="s">
        <v>421</v>
      </c>
      <c r="E14" s="17" t="s">
        <v>422</v>
      </c>
      <c r="F14" s="16" t="s">
        <v>213</v>
      </c>
    </row>
    <row r="15" spans="1:6" ht="16.649999999999999" customHeight="1" x14ac:dyDescent="0.3">
      <c r="A15" s="18">
        <v>12</v>
      </c>
      <c r="B15" s="19" t="s">
        <v>423</v>
      </c>
      <c r="C15" s="18" t="s">
        <v>424</v>
      </c>
      <c r="D15" s="19" t="s">
        <v>425</v>
      </c>
      <c r="E15" s="19" t="s">
        <v>426</v>
      </c>
      <c r="F15" s="18" t="s">
        <v>221</v>
      </c>
    </row>
    <row r="16" spans="1:6" ht="16.649999999999999" customHeight="1" x14ac:dyDescent="0.3">
      <c r="A16" s="16">
        <v>13</v>
      </c>
      <c r="B16" s="17" t="s">
        <v>427</v>
      </c>
      <c r="C16" s="16" t="s">
        <v>424</v>
      </c>
      <c r="D16" s="17" t="s">
        <v>428</v>
      </c>
      <c r="E16" s="17" t="s">
        <v>429</v>
      </c>
      <c r="F16" s="16" t="s">
        <v>226</v>
      </c>
    </row>
    <row r="17" spans="1:6" ht="16.649999999999999" customHeight="1" x14ac:dyDescent="0.3">
      <c r="A17" s="18">
        <v>14</v>
      </c>
      <c r="B17" s="19" t="s">
        <v>430</v>
      </c>
      <c r="C17" s="18" t="s">
        <v>388</v>
      </c>
      <c r="D17" s="19" t="s">
        <v>431</v>
      </c>
      <c r="E17" s="19" t="s">
        <v>432</v>
      </c>
      <c r="F17" s="18" t="s">
        <v>230</v>
      </c>
    </row>
    <row r="18" spans="1:6" ht="16.649999999999999" customHeight="1" x14ac:dyDescent="0.3">
      <c r="A18" s="16">
        <v>15</v>
      </c>
      <c r="B18" s="17" t="s">
        <v>433</v>
      </c>
      <c r="C18" s="16" t="s">
        <v>416</v>
      </c>
      <c r="D18" s="17" t="s">
        <v>434</v>
      </c>
      <c r="E18" s="17" t="s">
        <v>435</v>
      </c>
      <c r="F18" s="16" t="s">
        <v>234</v>
      </c>
    </row>
    <row r="19" spans="1:6" ht="16.649999999999999" customHeight="1" x14ac:dyDescent="0.3">
      <c r="A19" s="18">
        <v>16</v>
      </c>
      <c r="B19" s="19" t="s">
        <v>436</v>
      </c>
      <c r="C19" s="18" t="s">
        <v>437</v>
      </c>
      <c r="D19" s="19" t="s">
        <v>438</v>
      </c>
      <c r="E19" s="19" t="s">
        <v>439</v>
      </c>
      <c r="F19" s="18" t="s">
        <v>238</v>
      </c>
    </row>
    <row r="20" spans="1:6" ht="16.649999999999999" customHeight="1" x14ac:dyDescent="0.3">
      <c r="A20" s="16">
        <v>17</v>
      </c>
      <c r="B20" s="17" t="s">
        <v>440</v>
      </c>
      <c r="C20" s="16" t="s">
        <v>416</v>
      </c>
      <c r="D20" s="17" t="s">
        <v>441</v>
      </c>
      <c r="E20" s="17" t="s">
        <v>442</v>
      </c>
      <c r="F20" s="16" t="s">
        <v>246</v>
      </c>
    </row>
    <row r="21" spans="1:6" ht="16.649999999999999" customHeight="1" x14ac:dyDescent="0.3">
      <c r="A21" s="18">
        <v>18</v>
      </c>
      <c r="B21" s="19" t="s">
        <v>443</v>
      </c>
      <c r="C21" s="18" t="s">
        <v>388</v>
      </c>
      <c r="D21" s="19" t="s">
        <v>444</v>
      </c>
      <c r="E21" s="19" t="s">
        <v>445</v>
      </c>
      <c r="F21" s="18" t="s">
        <v>242</v>
      </c>
    </row>
    <row r="22" spans="1:6" ht="16.649999999999999" customHeight="1" x14ac:dyDescent="0.3">
      <c r="A22" s="16">
        <v>19</v>
      </c>
      <c r="B22" s="17" t="s">
        <v>446</v>
      </c>
      <c r="C22" s="16" t="s">
        <v>416</v>
      </c>
      <c r="D22" s="17" t="s">
        <v>447</v>
      </c>
      <c r="E22" s="17" t="s">
        <v>448</v>
      </c>
      <c r="F22" s="16" t="s">
        <v>242</v>
      </c>
    </row>
    <row r="23" spans="1:6" ht="16.649999999999999" customHeight="1" x14ac:dyDescent="0.3">
      <c r="A23" s="18">
        <v>20</v>
      </c>
      <c r="B23" s="19" t="s">
        <v>449</v>
      </c>
      <c r="C23" s="18" t="s">
        <v>388</v>
      </c>
      <c r="D23" s="19" t="s">
        <v>450</v>
      </c>
      <c r="E23" s="19" t="s">
        <v>451</v>
      </c>
      <c r="F23" s="18" t="s">
        <v>246</v>
      </c>
    </row>
    <row r="24" spans="1:6" ht="16.649999999999999" customHeight="1" x14ac:dyDescent="0.3">
      <c r="A24" s="16">
        <v>21</v>
      </c>
      <c r="B24" s="17" t="s">
        <v>452</v>
      </c>
      <c r="C24" s="16" t="s">
        <v>416</v>
      </c>
      <c r="D24" s="17" t="s">
        <v>453</v>
      </c>
      <c r="E24" s="17" t="s">
        <v>454</v>
      </c>
      <c r="F24" s="16" t="s">
        <v>250</v>
      </c>
    </row>
    <row r="25" spans="1:6" ht="16.649999999999999" customHeight="1" x14ac:dyDescent="0.3">
      <c r="A25" s="18">
        <v>22</v>
      </c>
      <c r="B25" s="19" t="s">
        <v>455</v>
      </c>
      <c r="C25" s="18" t="s">
        <v>456</v>
      </c>
      <c r="D25" s="19" t="s">
        <v>457</v>
      </c>
      <c r="E25" s="19" t="s">
        <v>458</v>
      </c>
      <c r="F25" s="18" t="s">
        <v>255</v>
      </c>
    </row>
    <row r="26" spans="1:6" ht="16.649999999999999" customHeight="1" x14ac:dyDescent="0.3">
      <c r="A26" s="16">
        <v>23</v>
      </c>
      <c r="B26" s="17" t="s">
        <v>459</v>
      </c>
      <c r="C26" s="16" t="s">
        <v>388</v>
      </c>
      <c r="D26" s="17" t="s">
        <v>460</v>
      </c>
      <c r="E26" s="17" t="s">
        <v>461</v>
      </c>
      <c r="F26" s="16" t="s">
        <v>260</v>
      </c>
    </row>
    <row r="27" spans="1:6" ht="16.649999999999999" customHeight="1" x14ac:dyDescent="0.3">
      <c r="A27" s="18">
        <v>24</v>
      </c>
      <c r="B27" s="19" t="s">
        <v>462</v>
      </c>
      <c r="C27" s="18" t="s">
        <v>416</v>
      </c>
      <c r="D27" s="19" t="s">
        <v>463</v>
      </c>
      <c r="E27" s="19" t="s">
        <v>464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465</v>
      </c>
      <c r="D28" s="17" t="s">
        <v>466</v>
      </c>
      <c r="E28" s="17" t="s">
        <v>467</v>
      </c>
      <c r="F28" s="16" t="s">
        <v>269</v>
      </c>
    </row>
    <row r="29" spans="1:6" ht="16.649999999999999" customHeight="1" x14ac:dyDescent="0.3">
      <c r="A29" s="18">
        <v>26</v>
      </c>
      <c r="B29" s="19" t="s">
        <v>468</v>
      </c>
      <c r="C29" s="18" t="s">
        <v>388</v>
      </c>
      <c r="D29" s="19" t="s">
        <v>469</v>
      </c>
      <c r="E29" s="19" t="s">
        <v>470</v>
      </c>
      <c r="F29" s="18" t="s">
        <v>274</v>
      </c>
    </row>
    <row r="30" spans="1:6" ht="16.649999999999999" customHeight="1" x14ac:dyDescent="0.3">
      <c r="A30" s="16">
        <v>27</v>
      </c>
      <c r="B30" s="17" t="s">
        <v>471</v>
      </c>
      <c r="C30" s="16" t="s">
        <v>472</v>
      </c>
      <c r="D30" s="17" t="s">
        <v>473</v>
      </c>
      <c r="E30" s="17" t="s">
        <v>474</v>
      </c>
      <c r="F30" s="16" t="s">
        <v>283</v>
      </c>
    </row>
    <row r="31" spans="1:6" ht="16.649999999999999" customHeight="1" x14ac:dyDescent="0.3">
      <c r="A31" s="18">
        <v>28</v>
      </c>
      <c r="B31" s="19" t="s">
        <v>475</v>
      </c>
      <c r="C31" s="18" t="s">
        <v>388</v>
      </c>
      <c r="D31" s="19" t="s">
        <v>476</v>
      </c>
      <c r="E31" s="19" t="s">
        <v>477</v>
      </c>
      <c r="F31" s="18" t="s">
        <v>330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2" t="s">
        <v>478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479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480</v>
      </c>
      <c r="B3" s="3" t="s">
        <v>481</v>
      </c>
      <c r="C3" s="3" t="s">
        <v>482</v>
      </c>
      <c r="D3" s="3" t="s">
        <v>483</v>
      </c>
      <c r="E3" s="3" t="s">
        <v>484</v>
      </c>
      <c r="F3" s="3" t="s">
        <v>50</v>
      </c>
      <c r="G3" s="3" t="s">
        <v>96</v>
      </c>
    </row>
    <row r="4" spans="1:7" ht="41.85" customHeight="1" x14ac:dyDescent="0.3">
      <c r="A4" s="16" t="s">
        <v>485</v>
      </c>
      <c r="B4" s="17" t="s">
        <v>486</v>
      </c>
      <c r="C4" s="17" t="s">
        <v>487</v>
      </c>
      <c r="D4" s="16" t="s">
        <v>488</v>
      </c>
      <c r="E4" s="17" t="s">
        <v>489</v>
      </c>
      <c r="F4" s="16" t="s">
        <v>99</v>
      </c>
      <c r="G4" s="16" t="s">
        <v>104</v>
      </c>
    </row>
    <row r="5" spans="1:7" ht="41.85" customHeight="1" x14ac:dyDescent="0.3">
      <c r="A5" s="18" t="s">
        <v>485</v>
      </c>
      <c r="B5" s="19" t="s">
        <v>486</v>
      </c>
      <c r="C5" s="19" t="s">
        <v>490</v>
      </c>
      <c r="D5" s="18" t="s">
        <v>488</v>
      </c>
      <c r="E5" s="19" t="s">
        <v>491</v>
      </c>
      <c r="F5" s="18" t="s">
        <v>99</v>
      </c>
      <c r="G5" s="18" t="s">
        <v>104</v>
      </c>
    </row>
    <row r="6" spans="1:7" ht="29.25" customHeight="1" x14ac:dyDescent="0.3">
      <c r="A6" s="16" t="s">
        <v>485</v>
      </c>
      <c r="B6" s="17" t="s">
        <v>486</v>
      </c>
      <c r="C6" s="17" t="s">
        <v>492</v>
      </c>
      <c r="D6" s="16" t="s">
        <v>488</v>
      </c>
      <c r="E6" s="17" t="s">
        <v>493</v>
      </c>
      <c r="F6" s="16" t="s">
        <v>99</v>
      </c>
      <c r="G6" s="16" t="s">
        <v>104</v>
      </c>
    </row>
    <row r="7" spans="1:7" ht="29.25" customHeight="1" x14ac:dyDescent="0.3">
      <c r="A7" s="18" t="s">
        <v>485</v>
      </c>
      <c r="B7" s="19" t="s">
        <v>486</v>
      </c>
      <c r="C7" s="19" t="s">
        <v>494</v>
      </c>
      <c r="D7" s="18" t="s">
        <v>488</v>
      </c>
      <c r="E7" s="19" t="s">
        <v>495</v>
      </c>
      <c r="F7" s="18" t="s">
        <v>99</v>
      </c>
      <c r="G7" s="18" t="s">
        <v>104</v>
      </c>
    </row>
    <row r="8" spans="1:7" ht="41.85" customHeight="1" x14ac:dyDescent="0.3">
      <c r="A8" s="16" t="s">
        <v>485</v>
      </c>
      <c r="B8" s="17" t="s">
        <v>486</v>
      </c>
      <c r="C8" s="17" t="s">
        <v>496</v>
      </c>
      <c r="D8" s="16" t="s">
        <v>488</v>
      </c>
      <c r="E8" s="17" t="s">
        <v>497</v>
      </c>
      <c r="F8" s="16" t="s">
        <v>99</v>
      </c>
      <c r="G8" s="16" t="s">
        <v>155</v>
      </c>
    </row>
    <row r="9" spans="1:7" ht="29.25" customHeight="1" x14ac:dyDescent="0.3">
      <c r="A9" s="18" t="s">
        <v>485</v>
      </c>
      <c r="B9" s="19" t="s">
        <v>486</v>
      </c>
      <c r="C9" s="19" t="s">
        <v>498</v>
      </c>
      <c r="D9" s="22" t="s">
        <v>499</v>
      </c>
      <c r="E9" s="19" t="s">
        <v>500</v>
      </c>
      <c r="F9" s="18" t="s">
        <v>99</v>
      </c>
      <c r="G9" s="18" t="s">
        <v>254</v>
      </c>
    </row>
    <row r="10" spans="1:7" ht="29.25" customHeight="1" x14ac:dyDescent="0.3">
      <c r="A10" s="16" t="s">
        <v>485</v>
      </c>
      <c r="B10" s="17" t="s">
        <v>486</v>
      </c>
      <c r="C10" s="17" t="s">
        <v>501</v>
      </c>
      <c r="D10" s="22" t="s">
        <v>499</v>
      </c>
      <c r="E10" s="17" t="s">
        <v>502</v>
      </c>
      <c r="F10" s="16" t="s">
        <v>99</v>
      </c>
      <c r="G10" s="16" t="s">
        <v>254</v>
      </c>
    </row>
    <row r="11" spans="1:7" ht="41.85" customHeight="1" x14ac:dyDescent="0.3">
      <c r="A11" s="18" t="s">
        <v>485</v>
      </c>
      <c r="B11" s="19" t="s">
        <v>486</v>
      </c>
      <c r="C11" s="19" t="s">
        <v>503</v>
      </c>
      <c r="D11" s="23" t="s">
        <v>504</v>
      </c>
      <c r="E11" s="19" t="s">
        <v>505</v>
      </c>
      <c r="F11" s="18" t="s">
        <v>99</v>
      </c>
      <c r="G11" s="18" t="s">
        <v>104</v>
      </c>
    </row>
    <row r="12" spans="1:7" ht="41.85" customHeight="1" x14ac:dyDescent="0.3">
      <c r="A12" s="16" t="s">
        <v>485</v>
      </c>
      <c r="B12" s="17" t="s">
        <v>506</v>
      </c>
      <c r="C12" s="17" t="s">
        <v>507</v>
      </c>
      <c r="D12" s="23" t="s">
        <v>504</v>
      </c>
      <c r="E12" s="17" t="s">
        <v>508</v>
      </c>
      <c r="F12" s="16" t="s">
        <v>107</v>
      </c>
      <c r="G12" s="16" t="s">
        <v>104</v>
      </c>
    </row>
    <row r="13" spans="1:7" ht="41.85" customHeight="1" x14ac:dyDescent="0.3">
      <c r="A13" s="18" t="s">
        <v>485</v>
      </c>
      <c r="B13" s="19" t="s">
        <v>506</v>
      </c>
      <c r="C13" s="19" t="s">
        <v>509</v>
      </c>
      <c r="D13" s="18" t="s">
        <v>488</v>
      </c>
      <c r="E13" s="19" t="s">
        <v>510</v>
      </c>
      <c r="F13" s="18" t="s">
        <v>107</v>
      </c>
      <c r="G13" s="18" t="s">
        <v>104</v>
      </c>
    </row>
    <row r="14" spans="1:7" ht="41.85" customHeight="1" x14ac:dyDescent="0.3">
      <c r="A14" s="16" t="s">
        <v>485</v>
      </c>
      <c r="B14" s="17" t="s">
        <v>506</v>
      </c>
      <c r="C14" s="17" t="s">
        <v>511</v>
      </c>
      <c r="D14" s="16" t="s">
        <v>488</v>
      </c>
      <c r="E14" s="17" t="s">
        <v>512</v>
      </c>
      <c r="F14" s="16" t="s">
        <v>107</v>
      </c>
      <c r="G14" s="16" t="s">
        <v>104</v>
      </c>
    </row>
    <row r="15" spans="1:7" ht="41.85" customHeight="1" x14ac:dyDescent="0.3">
      <c r="A15" s="18" t="s">
        <v>485</v>
      </c>
      <c r="B15" s="19" t="s">
        <v>506</v>
      </c>
      <c r="C15" s="19" t="s">
        <v>513</v>
      </c>
      <c r="D15" s="18" t="s">
        <v>488</v>
      </c>
      <c r="E15" s="19" t="s">
        <v>514</v>
      </c>
      <c r="F15" s="18" t="s">
        <v>107</v>
      </c>
      <c r="G15" s="18" t="s">
        <v>104</v>
      </c>
    </row>
    <row r="16" spans="1:7" ht="41.85" customHeight="1" x14ac:dyDescent="0.3">
      <c r="A16" s="16" t="s">
        <v>515</v>
      </c>
      <c r="B16" s="17" t="s">
        <v>516</v>
      </c>
      <c r="C16" s="17" t="s">
        <v>517</v>
      </c>
      <c r="D16" s="16" t="s">
        <v>488</v>
      </c>
      <c r="E16" s="17" t="s">
        <v>518</v>
      </c>
      <c r="F16" s="16" t="s">
        <v>107</v>
      </c>
      <c r="G16" s="16" t="s">
        <v>104</v>
      </c>
    </row>
    <row r="17" spans="1:7" ht="67.05" customHeight="1" x14ac:dyDescent="0.3">
      <c r="A17" s="18" t="s">
        <v>515</v>
      </c>
      <c r="B17" s="19" t="s">
        <v>519</v>
      </c>
      <c r="C17" s="19" t="s">
        <v>517</v>
      </c>
      <c r="D17" s="18" t="s">
        <v>488</v>
      </c>
      <c r="E17" s="19" t="s">
        <v>520</v>
      </c>
      <c r="F17" s="18" t="s">
        <v>111</v>
      </c>
      <c r="G17" s="18" t="s">
        <v>155</v>
      </c>
    </row>
    <row r="18" spans="1:7" ht="29.25" customHeight="1" x14ac:dyDescent="0.3">
      <c r="A18" s="16" t="s">
        <v>485</v>
      </c>
      <c r="B18" s="17" t="s">
        <v>521</v>
      </c>
      <c r="C18" s="17" t="s">
        <v>522</v>
      </c>
      <c r="D18" s="16" t="s">
        <v>488</v>
      </c>
      <c r="E18" s="17" t="s">
        <v>523</v>
      </c>
      <c r="F18" s="16" t="s">
        <v>141</v>
      </c>
      <c r="G18" s="16" t="s">
        <v>155</v>
      </c>
    </row>
    <row r="19" spans="1:7" ht="29.25" customHeight="1" x14ac:dyDescent="0.3">
      <c r="A19" s="18" t="s">
        <v>485</v>
      </c>
      <c r="B19" s="19" t="s">
        <v>521</v>
      </c>
      <c r="C19" s="19" t="s">
        <v>524</v>
      </c>
      <c r="D19" s="18" t="s">
        <v>488</v>
      </c>
      <c r="E19" s="19" t="s">
        <v>525</v>
      </c>
      <c r="F19" s="18" t="s">
        <v>141</v>
      </c>
      <c r="G19" s="18" t="s">
        <v>155</v>
      </c>
    </row>
    <row r="20" spans="1:7" ht="29.25" customHeight="1" x14ac:dyDescent="0.3">
      <c r="A20" s="16" t="s">
        <v>485</v>
      </c>
      <c r="B20" s="17" t="s">
        <v>526</v>
      </c>
      <c r="C20" s="17" t="s">
        <v>490</v>
      </c>
      <c r="D20" s="23" t="s">
        <v>504</v>
      </c>
      <c r="E20" s="17" t="s">
        <v>527</v>
      </c>
      <c r="F20" s="16" t="s">
        <v>99</v>
      </c>
      <c r="G20" s="16" t="s">
        <v>254</v>
      </c>
    </row>
    <row r="21" spans="1:7" ht="54.45" customHeight="1" x14ac:dyDescent="0.3">
      <c r="A21" s="18" t="s">
        <v>528</v>
      </c>
      <c r="B21" s="19" t="s">
        <v>529</v>
      </c>
      <c r="C21" s="19" t="s">
        <v>530</v>
      </c>
      <c r="D21" s="24" t="s">
        <v>531</v>
      </c>
      <c r="E21" s="19" t="s">
        <v>532</v>
      </c>
      <c r="F21" s="18" t="s">
        <v>116</v>
      </c>
      <c r="G21" s="18" t="s">
        <v>104</v>
      </c>
    </row>
    <row r="22" spans="1:7" ht="54.45" customHeight="1" x14ac:dyDescent="0.3">
      <c r="A22" s="16" t="s">
        <v>528</v>
      </c>
      <c r="B22" s="17" t="s">
        <v>529</v>
      </c>
      <c r="C22" s="17" t="s">
        <v>533</v>
      </c>
      <c r="D22" s="24" t="s">
        <v>531</v>
      </c>
      <c r="E22" s="17" t="s">
        <v>534</v>
      </c>
      <c r="F22" s="16" t="s">
        <v>133</v>
      </c>
      <c r="G22" s="16" t="s">
        <v>104</v>
      </c>
    </row>
    <row r="23" spans="1:7" ht="41.85" customHeight="1" x14ac:dyDescent="0.3">
      <c r="A23" s="18" t="s">
        <v>528</v>
      </c>
      <c r="B23" s="19" t="s">
        <v>535</v>
      </c>
      <c r="C23" s="19" t="s">
        <v>536</v>
      </c>
      <c r="D23" s="24" t="s">
        <v>531</v>
      </c>
      <c r="E23" s="19" t="s">
        <v>537</v>
      </c>
      <c r="F23" s="18" t="s">
        <v>141</v>
      </c>
      <c r="G23" s="18" t="s">
        <v>104</v>
      </c>
    </row>
    <row r="24" spans="1:7" ht="29.25" customHeight="1" x14ac:dyDescent="0.3">
      <c r="A24" s="16" t="s">
        <v>528</v>
      </c>
      <c r="B24" s="17" t="s">
        <v>535</v>
      </c>
      <c r="C24" s="17" t="s">
        <v>538</v>
      </c>
      <c r="D24" s="24" t="s">
        <v>531</v>
      </c>
      <c r="E24" s="17" t="s">
        <v>539</v>
      </c>
      <c r="F24" s="16" t="s">
        <v>150</v>
      </c>
      <c r="G24" s="16" t="s">
        <v>155</v>
      </c>
    </row>
    <row r="25" spans="1:7" ht="41.85" customHeight="1" x14ac:dyDescent="0.3">
      <c r="A25" s="18" t="s">
        <v>528</v>
      </c>
      <c r="B25" s="19" t="s">
        <v>535</v>
      </c>
      <c r="C25" s="19" t="s">
        <v>540</v>
      </c>
      <c r="D25" s="24" t="s">
        <v>531</v>
      </c>
      <c r="E25" s="19" t="s">
        <v>541</v>
      </c>
      <c r="F25" s="18" t="s">
        <v>288</v>
      </c>
      <c r="G25" s="18" t="s">
        <v>104</v>
      </c>
    </row>
    <row r="26" spans="1:7" ht="41.85" customHeight="1" x14ac:dyDescent="0.3">
      <c r="A26" s="16" t="s">
        <v>528</v>
      </c>
      <c r="B26" s="17" t="s">
        <v>542</v>
      </c>
      <c r="C26" s="17" t="s">
        <v>543</v>
      </c>
      <c r="D26" s="24" t="s">
        <v>531</v>
      </c>
      <c r="E26" s="17" t="s">
        <v>544</v>
      </c>
      <c r="F26" s="16" t="s">
        <v>129</v>
      </c>
      <c r="G26" s="16" t="s">
        <v>104</v>
      </c>
    </row>
    <row r="27" spans="1:7" ht="29.25" customHeight="1" x14ac:dyDescent="0.3">
      <c r="A27" s="18" t="s">
        <v>528</v>
      </c>
      <c r="B27" s="19" t="s">
        <v>542</v>
      </c>
      <c r="C27" s="19" t="s">
        <v>545</v>
      </c>
      <c r="D27" s="24" t="s">
        <v>531</v>
      </c>
      <c r="E27" s="19" t="s">
        <v>546</v>
      </c>
      <c r="F27" s="18" t="s">
        <v>129</v>
      </c>
      <c r="G27" s="18" t="s">
        <v>104</v>
      </c>
    </row>
    <row r="28" spans="1:7" ht="29.25" customHeight="1" x14ac:dyDescent="0.3">
      <c r="A28" s="16" t="s">
        <v>528</v>
      </c>
      <c r="B28" s="17" t="s">
        <v>547</v>
      </c>
      <c r="C28" s="17" t="s">
        <v>548</v>
      </c>
      <c r="D28" s="23" t="s">
        <v>504</v>
      </c>
      <c r="E28" s="17" t="s">
        <v>549</v>
      </c>
      <c r="F28" s="16" t="s">
        <v>141</v>
      </c>
      <c r="G28" s="16" t="s">
        <v>104</v>
      </c>
    </row>
    <row r="29" spans="1:7" ht="29.25" customHeight="1" x14ac:dyDescent="0.3">
      <c r="A29" s="18" t="s">
        <v>528</v>
      </c>
      <c r="B29" s="19" t="s">
        <v>542</v>
      </c>
      <c r="C29" s="19" t="s">
        <v>550</v>
      </c>
      <c r="D29" s="23" t="s">
        <v>504</v>
      </c>
      <c r="E29" s="19" t="s">
        <v>551</v>
      </c>
      <c r="F29" s="18" t="s">
        <v>125</v>
      </c>
      <c r="G29" s="18" t="s">
        <v>104</v>
      </c>
    </row>
    <row r="30" spans="1:7" ht="41.85" customHeight="1" x14ac:dyDescent="0.3">
      <c r="A30" s="16" t="s">
        <v>552</v>
      </c>
      <c r="B30" s="17" t="s">
        <v>553</v>
      </c>
      <c r="C30" s="17" t="s">
        <v>554</v>
      </c>
      <c r="D30" s="24" t="s">
        <v>531</v>
      </c>
      <c r="E30" s="17" t="s">
        <v>555</v>
      </c>
      <c r="F30" s="16" t="s">
        <v>288</v>
      </c>
      <c r="G30" s="16" t="s">
        <v>104</v>
      </c>
    </row>
    <row r="31" spans="1:7" ht="29.25" customHeight="1" x14ac:dyDescent="0.3">
      <c r="A31" s="18" t="s">
        <v>556</v>
      </c>
      <c r="B31" s="19" t="s">
        <v>557</v>
      </c>
      <c r="C31" s="19" t="s">
        <v>558</v>
      </c>
      <c r="D31" s="18" t="s">
        <v>488</v>
      </c>
      <c r="E31" s="19" t="s">
        <v>559</v>
      </c>
      <c r="F31" s="18" t="s">
        <v>111</v>
      </c>
      <c r="G31" s="18" t="s">
        <v>104</v>
      </c>
    </row>
    <row r="32" spans="1:7" ht="29.25" customHeight="1" x14ac:dyDescent="0.3">
      <c r="A32" s="16" t="s">
        <v>556</v>
      </c>
      <c r="B32" s="17" t="s">
        <v>557</v>
      </c>
      <c r="C32" s="17" t="s">
        <v>560</v>
      </c>
      <c r="D32" s="16" t="s">
        <v>488</v>
      </c>
      <c r="E32" s="17" t="s">
        <v>561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2" t="s">
        <v>562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563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564</v>
      </c>
      <c r="B3" s="3" t="s">
        <v>565</v>
      </c>
      <c r="C3" s="3" t="s">
        <v>566</v>
      </c>
      <c r="D3" s="3" t="s">
        <v>567</v>
      </c>
      <c r="E3" s="3" t="s">
        <v>568</v>
      </c>
      <c r="F3" s="3" t="s">
        <v>569</v>
      </c>
      <c r="G3" s="3" t="s">
        <v>570</v>
      </c>
    </row>
    <row r="4" spans="1:7" ht="54.45" customHeight="1" x14ac:dyDescent="0.3">
      <c r="A4" s="17" t="s">
        <v>571</v>
      </c>
      <c r="B4" s="17" t="s">
        <v>572</v>
      </c>
      <c r="C4" s="25">
        <v>40</v>
      </c>
      <c r="D4" s="17" t="s">
        <v>573</v>
      </c>
      <c r="E4" s="25">
        <v>6</v>
      </c>
      <c r="F4" s="25">
        <f t="shared" ref="F4:F16" si="0">(C4-E4)*12</f>
        <v>408</v>
      </c>
      <c r="G4" s="16" t="s">
        <v>574</v>
      </c>
    </row>
    <row r="5" spans="1:7" ht="29.25" customHeight="1" x14ac:dyDescent="0.3">
      <c r="A5" s="19" t="s">
        <v>575</v>
      </c>
      <c r="B5" s="19" t="s">
        <v>576</v>
      </c>
      <c r="C5" s="26">
        <v>35</v>
      </c>
      <c r="D5" s="19" t="s">
        <v>577</v>
      </c>
      <c r="E5" s="26">
        <v>2</v>
      </c>
      <c r="F5" s="26">
        <f t="shared" si="0"/>
        <v>396</v>
      </c>
      <c r="G5" s="18" t="s">
        <v>574</v>
      </c>
    </row>
    <row r="6" spans="1:7" ht="16.649999999999999" customHeight="1" x14ac:dyDescent="0.3">
      <c r="A6" s="17" t="s">
        <v>578</v>
      </c>
      <c r="B6" s="17" t="s">
        <v>579</v>
      </c>
      <c r="C6" s="25">
        <v>12</v>
      </c>
      <c r="D6" s="17" t="s">
        <v>580</v>
      </c>
      <c r="E6" s="25">
        <v>0</v>
      </c>
      <c r="F6" s="25">
        <f t="shared" si="0"/>
        <v>144</v>
      </c>
      <c r="G6" s="16" t="s">
        <v>574</v>
      </c>
    </row>
    <row r="7" spans="1:7" ht="29.25" customHeight="1" x14ac:dyDescent="0.3">
      <c r="A7" s="19" t="s">
        <v>581</v>
      </c>
      <c r="B7" s="19" t="s">
        <v>582</v>
      </c>
      <c r="C7" s="26">
        <v>15</v>
      </c>
      <c r="D7" s="19" t="s">
        <v>583</v>
      </c>
      <c r="E7" s="26">
        <v>0</v>
      </c>
      <c r="F7" s="26">
        <f t="shared" si="0"/>
        <v>180</v>
      </c>
      <c r="G7" s="18" t="s">
        <v>574</v>
      </c>
    </row>
    <row r="8" spans="1:7" ht="29.25" customHeight="1" x14ac:dyDescent="0.3">
      <c r="A8" s="17" t="s">
        <v>584</v>
      </c>
      <c r="B8" s="17" t="s">
        <v>585</v>
      </c>
      <c r="C8" s="25">
        <v>10</v>
      </c>
      <c r="D8" s="17" t="s">
        <v>586</v>
      </c>
      <c r="E8" s="25">
        <v>0</v>
      </c>
      <c r="F8" s="25">
        <f t="shared" si="0"/>
        <v>120</v>
      </c>
      <c r="G8" s="16" t="s">
        <v>574</v>
      </c>
    </row>
    <row r="9" spans="1:7" ht="16.649999999999999" customHeight="1" x14ac:dyDescent="0.3">
      <c r="A9" s="19" t="s">
        <v>587</v>
      </c>
      <c r="B9" s="19" t="s">
        <v>588</v>
      </c>
      <c r="C9" s="26">
        <v>20</v>
      </c>
      <c r="D9" s="19" t="s">
        <v>589</v>
      </c>
      <c r="E9" s="26">
        <v>0</v>
      </c>
      <c r="F9" s="26">
        <f t="shared" si="0"/>
        <v>240</v>
      </c>
      <c r="G9" s="18" t="s">
        <v>574</v>
      </c>
    </row>
    <row r="10" spans="1:7" ht="41.85" customHeight="1" x14ac:dyDescent="0.3">
      <c r="A10" s="17" t="s">
        <v>590</v>
      </c>
      <c r="B10" s="17" t="s">
        <v>591</v>
      </c>
      <c r="C10" s="25">
        <v>8</v>
      </c>
      <c r="D10" s="17" t="s">
        <v>592</v>
      </c>
      <c r="E10" s="25">
        <v>0</v>
      </c>
      <c r="F10" s="25">
        <f t="shared" si="0"/>
        <v>96</v>
      </c>
      <c r="G10" s="16" t="s">
        <v>574</v>
      </c>
    </row>
    <row r="11" spans="1:7" ht="29.25" customHeight="1" x14ac:dyDescent="0.3">
      <c r="A11" s="19" t="s">
        <v>593</v>
      </c>
      <c r="B11" s="19" t="s">
        <v>594</v>
      </c>
      <c r="C11" s="26">
        <v>5</v>
      </c>
      <c r="D11" s="19" t="s">
        <v>595</v>
      </c>
      <c r="E11" s="26">
        <v>0</v>
      </c>
      <c r="F11" s="26">
        <f t="shared" si="0"/>
        <v>60</v>
      </c>
      <c r="G11" s="18" t="s">
        <v>574</v>
      </c>
    </row>
    <row r="12" spans="1:7" ht="16.649999999999999" customHeight="1" x14ac:dyDescent="0.3">
      <c r="A12" s="17" t="s">
        <v>596</v>
      </c>
      <c r="B12" s="17" t="s">
        <v>597</v>
      </c>
      <c r="C12" s="25">
        <v>26</v>
      </c>
      <c r="D12" s="17" t="s">
        <v>598</v>
      </c>
      <c r="E12" s="25">
        <v>0</v>
      </c>
      <c r="F12" s="25">
        <f t="shared" si="0"/>
        <v>312</v>
      </c>
      <c r="G12" s="16" t="s">
        <v>599</v>
      </c>
    </row>
    <row r="13" spans="1:7" ht="29.25" customHeight="1" x14ac:dyDescent="0.3">
      <c r="A13" s="19" t="s">
        <v>600</v>
      </c>
      <c r="B13" s="19" t="s">
        <v>601</v>
      </c>
      <c r="C13" s="26">
        <v>5</v>
      </c>
      <c r="D13" s="19" t="s">
        <v>602</v>
      </c>
      <c r="E13" s="26">
        <v>0</v>
      </c>
      <c r="F13" s="26">
        <f t="shared" si="0"/>
        <v>60</v>
      </c>
      <c r="G13" s="18" t="s">
        <v>603</v>
      </c>
    </row>
    <row r="14" spans="1:7" ht="16.649999999999999" customHeight="1" x14ac:dyDescent="0.3">
      <c r="A14" s="17" t="s">
        <v>604</v>
      </c>
      <c r="B14" s="17" t="s">
        <v>605</v>
      </c>
      <c r="C14" s="25">
        <v>1.5</v>
      </c>
      <c r="D14" s="17" t="s">
        <v>606</v>
      </c>
      <c r="E14" s="25">
        <v>1.5</v>
      </c>
      <c r="F14" s="25">
        <f t="shared" si="0"/>
        <v>0</v>
      </c>
      <c r="G14" s="16" t="s">
        <v>603</v>
      </c>
    </row>
    <row r="15" spans="1:7" ht="16.649999999999999" customHeight="1" x14ac:dyDescent="0.3">
      <c r="A15" s="19" t="s">
        <v>607</v>
      </c>
      <c r="B15" s="19" t="s">
        <v>608</v>
      </c>
      <c r="C15" s="26">
        <v>2.08</v>
      </c>
      <c r="D15" s="19" t="s">
        <v>609</v>
      </c>
      <c r="E15" s="26">
        <v>2.08</v>
      </c>
      <c r="F15" s="26">
        <f t="shared" si="0"/>
        <v>0</v>
      </c>
      <c r="G15" s="18" t="s">
        <v>610</v>
      </c>
    </row>
    <row r="16" spans="1:7" ht="29.25" customHeight="1" x14ac:dyDescent="0.3">
      <c r="A16" s="17" t="s">
        <v>611</v>
      </c>
      <c r="B16" s="17" t="s">
        <v>612</v>
      </c>
      <c r="C16" s="25">
        <v>8.25</v>
      </c>
      <c r="D16" s="17" t="s">
        <v>613</v>
      </c>
      <c r="E16" s="25">
        <v>8.25</v>
      </c>
      <c r="F16" s="25">
        <f t="shared" si="0"/>
        <v>0</v>
      </c>
      <c r="G16" s="16" t="s">
        <v>610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614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8" t="s">
        <v>615</v>
      </c>
      <c r="B19" s="33"/>
      <c r="C19" s="33"/>
      <c r="D19" s="33"/>
      <c r="E19" s="33"/>
      <c r="F19" s="33"/>
      <c r="G19" s="33"/>
    </row>
    <row r="20" spans="1:7" ht="25.95" customHeight="1" x14ac:dyDescent="0.3">
      <c r="A20" s="38" t="s">
        <v>616</v>
      </c>
      <c r="B20" s="33"/>
      <c r="C20" s="33"/>
      <c r="D20" s="33"/>
      <c r="E20" s="33"/>
      <c r="F20" s="33"/>
      <c r="G20" s="33"/>
    </row>
    <row r="21" spans="1:7" ht="13.95" customHeight="1" x14ac:dyDescent="0.3">
      <c r="A21" s="38" t="s">
        <v>617</v>
      </c>
      <c r="B21" s="33"/>
      <c r="C21" s="33"/>
      <c r="D21" s="33"/>
      <c r="E21" s="33"/>
      <c r="F21" s="33"/>
      <c r="G21" s="33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2" t="s">
        <v>618</v>
      </c>
      <c r="B1" s="33"/>
      <c r="C1" s="33"/>
      <c r="D1" s="33"/>
      <c r="E1" s="33"/>
    </row>
    <row r="2" spans="1:5" ht="24" customHeight="1" x14ac:dyDescent="0.3">
      <c r="A2" s="35" t="s">
        <v>619</v>
      </c>
      <c r="B2" s="33"/>
      <c r="C2" s="33"/>
      <c r="D2" s="33"/>
      <c r="E2" s="33"/>
    </row>
    <row r="3" spans="1:5" ht="31.95" customHeight="1" x14ac:dyDescent="0.3">
      <c r="A3" s="3" t="s">
        <v>620</v>
      </c>
      <c r="B3" s="3" t="s">
        <v>621</v>
      </c>
      <c r="C3" s="3" t="s">
        <v>622</v>
      </c>
      <c r="D3" s="3" t="s">
        <v>623</v>
      </c>
      <c r="E3" s="3" t="s">
        <v>624</v>
      </c>
    </row>
    <row r="4" spans="1:5" ht="54.45" customHeight="1" x14ac:dyDescent="0.3">
      <c r="A4" s="17" t="s">
        <v>625</v>
      </c>
      <c r="B4" s="16" t="s">
        <v>155</v>
      </c>
      <c r="C4" s="16" t="s">
        <v>155</v>
      </c>
      <c r="D4" s="17" t="s">
        <v>626</v>
      </c>
      <c r="E4" s="17" t="s">
        <v>627</v>
      </c>
    </row>
    <row r="5" spans="1:5" ht="54.45" customHeight="1" x14ac:dyDescent="0.3">
      <c r="A5" s="19" t="s">
        <v>628</v>
      </c>
      <c r="B5" s="18" t="s">
        <v>155</v>
      </c>
      <c r="C5" s="18" t="s">
        <v>254</v>
      </c>
      <c r="D5" s="19" t="s">
        <v>629</v>
      </c>
      <c r="E5" s="19" t="s">
        <v>630</v>
      </c>
    </row>
    <row r="6" spans="1:5" ht="54.45" customHeight="1" x14ac:dyDescent="0.3">
      <c r="A6" s="17" t="s">
        <v>631</v>
      </c>
      <c r="B6" s="16" t="s">
        <v>155</v>
      </c>
      <c r="C6" s="16" t="s">
        <v>155</v>
      </c>
      <c r="D6" s="17" t="s">
        <v>632</v>
      </c>
      <c r="E6" s="17" t="s">
        <v>633</v>
      </c>
    </row>
    <row r="7" spans="1:5" ht="54.45" customHeight="1" x14ac:dyDescent="0.3">
      <c r="A7" s="19" t="s">
        <v>634</v>
      </c>
      <c r="B7" s="18" t="s">
        <v>155</v>
      </c>
      <c r="C7" s="18" t="s">
        <v>155</v>
      </c>
      <c r="D7" s="19" t="s">
        <v>635</v>
      </c>
      <c r="E7" s="19" t="s">
        <v>636</v>
      </c>
    </row>
    <row r="8" spans="1:5" ht="54.45" customHeight="1" x14ac:dyDescent="0.3">
      <c r="A8" s="17" t="s">
        <v>637</v>
      </c>
      <c r="B8" s="16" t="s">
        <v>254</v>
      </c>
      <c r="C8" s="16" t="s">
        <v>155</v>
      </c>
      <c r="D8" s="17" t="s">
        <v>638</v>
      </c>
      <c r="E8" s="17" t="s">
        <v>639</v>
      </c>
    </row>
    <row r="9" spans="1:5" ht="54.45" customHeight="1" x14ac:dyDescent="0.3">
      <c r="A9" s="19" t="s">
        <v>640</v>
      </c>
      <c r="B9" s="18" t="s">
        <v>254</v>
      </c>
      <c r="C9" s="18" t="s">
        <v>254</v>
      </c>
      <c r="D9" s="19" t="s">
        <v>641</v>
      </c>
      <c r="E9" s="19" t="s">
        <v>642</v>
      </c>
    </row>
    <row r="10" spans="1:5" ht="54.45" customHeight="1" x14ac:dyDescent="0.3">
      <c r="A10" s="17" t="s">
        <v>643</v>
      </c>
      <c r="B10" s="16" t="s">
        <v>254</v>
      </c>
      <c r="C10" s="16" t="s">
        <v>254</v>
      </c>
      <c r="D10" s="17" t="s">
        <v>644</v>
      </c>
      <c r="E10" s="17" t="s">
        <v>645</v>
      </c>
    </row>
    <row r="11" spans="1:5" ht="41.85" customHeight="1" x14ac:dyDescent="0.3">
      <c r="A11" s="19" t="s">
        <v>646</v>
      </c>
      <c r="B11" s="18" t="s">
        <v>254</v>
      </c>
      <c r="C11" s="18" t="s">
        <v>254</v>
      </c>
      <c r="D11" s="19" t="s">
        <v>647</v>
      </c>
      <c r="E11" s="19" t="s">
        <v>648</v>
      </c>
    </row>
    <row r="12" spans="1:5" ht="41.85" customHeight="1" x14ac:dyDescent="0.3">
      <c r="A12" s="17" t="s">
        <v>649</v>
      </c>
      <c r="B12" s="16" t="s">
        <v>254</v>
      </c>
      <c r="C12" s="16" t="s">
        <v>155</v>
      </c>
      <c r="D12" s="17" t="s">
        <v>650</v>
      </c>
      <c r="E12" s="17" t="s">
        <v>651</v>
      </c>
    </row>
    <row r="13" spans="1:5" ht="54.45" customHeight="1" x14ac:dyDescent="0.3">
      <c r="A13" s="19" t="s">
        <v>652</v>
      </c>
      <c r="B13" s="18" t="s">
        <v>155</v>
      </c>
      <c r="C13" s="18" t="s">
        <v>155</v>
      </c>
      <c r="D13" s="19" t="s">
        <v>653</v>
      </c>
      <c r="E13" s="19" t="s">
        <v>654</v>
      </c>
    </row>
    <row r="14" spans="1:5" ht="41.85" customHeight="1" x14ac:dyDescent="0.3">
      <c r="A14" s="17" t="s">
        <v>655</v>
      </c>
      <c r="B14" s="16" t="s">
        <v>254</v>
      </c>
      <c r="C14" s="16" t="s">
        <v>254</v>
      </c>
      <c r="D14" s="17" t="s">
        <v>656</v>
      </c>
      <c r="E14" s="17" t="s">
        <v>657</v>
      </c>
    </row>
    <row r="15" spans="1:5" ht="41.85" customHeight="1" x14ac:dyDescent="0.3">
      <c r="A15" s="19" t="s">
        <v>658</v>
      </c>
      <c r="B15" s="18" t="s">
        <v>254</v>
      </c>
      <c r="C15" s="18" t="s">
        <v>254</v>
      </c>
      <c r="D15" s="19" t="s">
        <v>659</v>
      </c>
      <c r="E15" s="19" t="s">
        <v>660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2" t="s">
        <v>661</v>
      </c>
      <c r="B1" s="33"/>
      <c r="C1" s="33"/>
      <c r="D1" s="33"/>
      <c r="E1" s="33"/>
      <c r="F1" s="33"/>
      <c r="G1" s="33"/>
    </row>
    <row r="2" spans="1:7" ht="24" customHeight="1" x14ac:dyDescent="0.3">
      <c r="A2" s="35" t="s">
        <v>662</v>
      </c>
      <c r="B2" s="33"/>
      <c r="C2" s="33"/>
      <c r="D2" s="33"/>
      <c r="E2" s="33"/>
      <c r="F2" s="33"/>
      <c r="G2" s="33"/>
    </row>
    <row r="3" spans="1:7" ht="31.95" customHeight="1" x14ac:dyDescent="0.3">
      <c r="A3" s="3" t="s">
        <v>663</v>
      </c>
      <c r="B3" s="3" t="s">
        <v>96</v>
      </c>
      <c r="C3" s="3" t="s">
        <v>91</v>
      </c>
      <c r="D3" s="3" t="s">
        <v>664</v>
      </c>
      <c r="E3" s="3" t="s">
        <v>665</v>
      </c>
      <c r="F3" s="3" t="s">
        <v>666</v>
      </c>
      <c r="G3" s="3" t="s">
        <v>667</v>
      </c>
    </row>
    <row r="4" spans="1:7" ht="41.85" customHeight="1" x14ac:dyDescent="0.3">
      <c r="A4" s="16" t="s">
        <v>668</v>
      </c>
      <c r="B4" s="16" t="s">
        <v>669</v>
      </c>
      <c r="C4" s="17" t="s">
        <v>670</v>
      </c>
      <c r="D4" s="17" t="s">
        <v>671</v>
      </c>
      <c r="E4" s="17" t="s">
        <v>672</v>
      </c>
      <c r="F4" s="17" t="s">
        <v>673</v>
      </c>
      <c r="G4" s="16" t="s">
        <v>674</v>
      </c>
    </row>
    <row r="5" spans="1:7" ht="41.85" customHeight="1" x14ac:dyDescent="0.3">
      <c r="A5" s="18" t="s">
        <v>668</v>
      </c>
      <c r="B5" s="18" t="s">
        <v>669</v>
      </c>
      <c r="C5" s="19" t="s">
        <v>675</v>
      </c>
      <c r="D5" s="19" t="s">
        <v>676</v>
      </c>
      <c r="E5" s="19" t="s">
        <v>677</v>
      </c>
      <c r="F5" s="19" t="s">
        <v>678</v>
      </c>
      <c r="G5" s="18" t="s">
        <v>679</v>
      </c>
    </row>
    <row r="6" spans="1:7" ht="41.85" customHeight="1" x14ac:dyDescent="0.3">
      <c r="A6" s="16" t="s">
        <v>668</v>
      </c>
      <c r="B6" s="16" t="s">
        <v>155</v>
      </c>
      <c r="C6" s="17" t="s">
        <v>675</v>
      </c>
      <c r="D6" s="17" t="s">
        <v>680</v>
      </c>
      <c r="E6" s="17" t="s">
        <v>681</v>
      </c>
      <c r="F6" s="17" t="s">
        <v>682</v>
      </c>
      <c r="G6" s="16" t="s">
        <v>683</v>
      </c>
    </row>
    <row r="7" spans="1:7" ht="41.85" customHeight="1" x14ac:dyDescent="0.3">
      <c r="A7" s="18" t="s">
        <v>668</v>
      </c>
      <c r="B7" s="18" t="s">
        <v>155</v>
      </c>
      <c r="C7" s="19" t="s">
        <v>684</v>
      </c>
      <c r="D7" s="19" t="s">
        <v>685</v>
      </c>
      <c r="E7" s="19" t="s">
        <v>686</v>
      </c>
      <c r="F7" s="19" t="s">
        <v>687</v>
      </c>
      <c r="G7" s="18" t="s">
        <v>679</v>
      </c>
    </row>
    <row r="8" spans="1:7" ht="41.85" customHeight="1" x14ac:dyDescent="0.3">
      <c r="A8" s="16" t="s">
        <v>668</v>
      </c>
      <c r="B8" s="16" t="s">
        <v>155</v>
      </c>
      <c r="C8" s="17" t="s">
        <v>688</v>
      </c>
      <c r="D8" s="17" t="s">
        <v>689</v>
      </c>
      <c r="E8" s="17" t="s">
        <v>690</v>
      </c>
      <c r="F8" s="17" t="s">
        <v>691</v>
      </c>
      <c r="G8" s="16" t="s">
        <v>683</v>
      </c>
    </row>
    <row r="9" spans="1:7" ht="29.25" customHeight="1" x14ac:dyDescent="0.3">
      <c r="A9" s="18" t="s">
        <v>668</v>
      </c>
      <c r="B9" s="18" t="s">
        <v>254</v>
      </c>
      <c r="C9" s="19" t="s">
        <v>692</v>
      </c>
      <c r="D9" s="19" t="s">
        <v>693</v>
      </c>
      <c r="E9" s="19" t="s">
        <v>694</v>
      </c>
      <c r="F9" s="19" t="s">
        <v>695</v>
      </c>
      <c r="G9" s="18" t="s">
        <v>679</v>
      </c>
    </row>
    <row r="10" spans="1:7" ht="29.25" customHeight="1" x14ac:dyDescent="0.3">
      <c r="A10" s="16" t="s">
        <v>668</v>
      </c>
      <c r="B10" s="16" t="s">
        <v>254</v>
      </c>
      <c r="C10" s="17" t="s">
        <v>696</v>
      </c>
      <c r="D10" s="17" t="s">
        <v>697</v>
      </c>
      <c r="E10" s="17" t="s">
        <v>698</v>
      </c>
      <c r="F10" s="17" t="s">
        <v>699</v>
      </c>
      <c r="G10" s="16" t="s">
        <v>700</v>
      </c>
    </row>
    <row r="11" spans="1:7" ht="29.25" customHeight="1" x14ac:dyDescent="0.3">
      <c r="A11" s="18" t="s">
        <v>668</v>
      </c>
      <c r="B11" s="18" t="s">
        <v>254</v>
      </c>
      <c r="C11" s="19" t="s">
        <v>701</v>
      </c>
      <c r="D11" s="19" t="s">
        <v>702</v>
      </c>
      <c r="E11" s="19" t="s">
        <v>703</v>
      </c>
      <c r="F11" s="19" t="s">
        <v>704</v>
      </c>
      <c r="G11" s="18" t="s">
        <v>674</v>
      </c>
    </row>
    <row r="12" spans="1:7" ht="41.85" customHeight="1" x14ac:dyDescent="0.3">
      <c r="A12" s="16" t="s">
        <v>705</v>
      </c>
      <c r="B12" s="16" t="s">
        <v>155</v>
      </c>
      <c r="C12" s="17" t="s">
        <v>706</v>
      </c>
      <c r="D12" s="17" t="s">
        <v>707</v>
      </c>
      <c r="E12" s="17" t="s">
        <v>708</v>
      </c>
      <c r="F12" s="17" t="s">
        <v>709</v>
      </c>
      <c r="G12" s="16" t="s">
        <v>710</v>
      </c>
    </row>
    <row r="13" spans="1:7" ht="29.25" customHeight="1" x14ac:dyDescent="0.3">
      <c r="A13" s="18" t="s">
        <v>705</v>
      </c>
      <c r="B13" s="18" t="s">
        <v>711</v>
      </c>
      <c r="C13" s="19" t="s">
        <v>712</v>
      </c>
      <c r="D13" s="19" t="s">
        <v>713</v>
      </c>
      <c r="E13" s="19" t="s">
        <v>714</v>
      </c>
      <c r="F13" s="19" t="s">
        <v>715</v>
      </c>
      <c r="G13" s="18" t="s">
        <v>716</v>
      </c>
    </row>
    <row r="14" spans="1:7" ht="29.25" customHeight="1" x14ac:dyDescent="0.3">
      <c r="A14" s="16" t="s">
        <v>705</v>
      </c>
      <c r="B14" s="16" t="s">
        <v>711</v>
      </c>
      <c r="C14" s="17" t="s">
        <v>717</v>
      </c>
      <c r="D14" s="17" t="s">
        <v>718</v>
      </c>
      <c r="E14" s="17" t="s">
        <v>719</v>
      </c>
      <c r="F14" s="17" t="s">
        <v>720</v>
      </c>
      <c r="G14" s="16" t="s">
        <v>710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2026-08-18T14:51:50Z</dcterms:modified>
</cp:coreProperties>
</file>