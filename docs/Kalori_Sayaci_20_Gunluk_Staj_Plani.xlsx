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zet Dashboard" sheetId="1" state="visible" r:id="rId1"/>
    <sheet name="Sprint Plani" sheetId="2" state="visible" r:id="rId2"/>
    <sheet name="V2-V3 Backlog" sheetId="3" state="visible" r:id="rId3"/>
    <sheet name="Maliyet Analizi" sheetId="4" state="visible" r:id="rId4"/>
    <sheet name="Veri Kaynaklari" sheetId="5" state="visible" r:id="rId5"/>
    <sheet name="Veritabani Semasi" sheetId="6" state="visible" r:id="rId6"/>
    <sheet name="Rakip Analizi" sheetId="7" state="visible" r:id="rId7"/>
    <sheet name="Risk Yonetimi" sheetId="8" state="visible" r:id="rId8"/>
  </sheets>
  <definedNames>
    <definedName name="_xlnm._FilterDatabase" localSheetId="1" hidden="1">'Sprint Plani'!$A$3:$K$77</definedName>
    <definedName name="_xlnm._FilterDatabase" localSheetId="2" hidden="1">'V2-V3 Backlog'!$A$3:$H$20</definedName>
    <definedName name="_xlnm._FilterDatabase" localSheetId="5" hidden="1">'Veritabani Semasi'!$A$3:$F$86</definedName>
    <definedName name="_xlnm._FilterDatabase" localSheetId="7" hidden="1">'Risk Yonetimi'!$A$3:$E$17</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0);-"/>
  </numFmts>
  <fonts count="11">
    <font>
      <name val="Calibri"/>
      <family val="2"/>
      <color theme="1"/>
      <sz val="11"/>
      <scheme val="minor"/>
    </font>
    <font>
      <name val="Arial"/>
      <b val="1"/>
      <color rgb="00FFFFFF"/>
      <sz val="14"/>
    </font>
    <font>
      <name val="Arial"/>
      <i val="1"/>
      <color rgb="0044546A"/>
      <sz val="9"/>
    </font>
    <font>
      <name val="Arial"/>
      <b val="1"/>
      <color rgb="00FFFFFF"/>
      <sz val="10"/>
    </font>
    <font>
      <name val="Arial"/>
      <sz val="10"/>
    </font>
    <font>
      <name val="Arial"/>
      <b val="1"/>
      <sz val="10"/>
    </font>
    <font>
      <name val="Arial"/>
      <i val="1"/>
      <color rgb="007F7F7F"/>
      <sz val="9"/>
    </font>
    <font>
      <name val="Arial"/>
      <b val="1"/>
      <color rgb="001F3864"/>
      <sz val="11"/>
    </font>
    <font>
      <name val="Arial"/>
      <sz val="9"/>
    </font>
    <font>
      <name val="Arial"/>
      <color rgb="0044546A"/>
      <sz val="9"/>
    </font>
    <font>
      <name val="Arial"/>
      <b val="1"/>
      <color rgb="001F3864"/>
      <sz val="9"/>
    </font>
  </fonts>
  <fills count="8">
    <fill>
      <patternFill/>
    </fill>
    <fill>
      <patternFill patternType="gray125"/>
    </fill>
    <fill>
      <patternFill patternType="solid">
        <fgColor rgb="001F3864"/>
      </patternFill>
    </fill>
    <fill>
      <patternFill patternType="solid">
        <fgColor rgb="00DCE6F1"/>
      </patternFill>
    </fill>
    <fill>
      <patternFill patternType="solid">
        <fgColor rgb="002E5C8A"/>
      </patternFill>
    </fill>
    <fill>
      <patternFill patternType="solid">
        <fgColor rgb="00F2F6FA"/>
      </patternFill>
    </fill>
    <fill>
      <patternFill patternType="solid">
        <fgColor rgb="00E2EFDA"/>
      </patternFill>
    </fill>
    <fill>
      <patternFill patternType="solid">
        <fgColor rgb="00FFF2CC"/>
      </patternFill>
    </fill>
  </fills>
  <borders count="2">
    <border>
      <left/>
      <right/>
      <top/>
      <bottom/>
      <diagonal/>
    </border>
    <border>
      <left style="thin">
        <color rgb="00B0B7C3"/>
      </left>
      <right style="thin">
        <color rgb="00B0B7C3"/>
      </right>
      <top style="thin">
        <color rgb="00B0B7C3"/>
      </top>
      <bottom style="thin">
        <color rgb="00B0B7C3"/>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7" fillId="0" borderId="0" pivotButton="0" quotePrefix="0" xfId="0"/>
    <xf numFmtId="0" fontId="5" fillId="0" borderId="1" applyAlignment="1" pivotButton="0" quotePrefix="0" xfId="0">
      <alignment vertical="center"/>
    </xf>
    <xf numFmtId="0" fontId="4" fillId="0" borderId="1" applyAlignment="1" pivotButton="0" quotePrefix="0" xfId="0">
      <alignment vertical="center" wrapText="1"/>
    </xf>
    <xf numFmtId="0" fontId="0" fillId="0" borderId="1" pivotButton="0" quotePrefix="0" xfId="0"/>
    <xf numFmtId="0" fontId="3" fillId="4" borderId="1" applyAlignment="1" pivotButton="0" quotePrefix="0" xfId="0">
      <alignment horizontal="center" vertical="center" wrapText="1"/>
    </xf>
    <xf numFmtId="0" fontId="5" fillId="0" borderId="1" applyAlignment="1" pivotButton="0" quotePrefix="0" xfId="0">
      <alignment horizontal="center" vertical="center"/>
    </xf>
    <xf numFmtId="0" fontId="4" fillId="0" borderId="1" applyAlignment="1" pivotButton="0" quotePrefix="0" xfId="0">
      <alignment horizontal="center" vertical="center"/>
    </xf>
    <xf numFmtId="165" fontId="4" fillId="0" borderId="1" applyAlignment="1" pivotButton="0" quotePrefix="0" xfId="0">
      <alignment horizontal="center" vertical="center"/>
    </xf>
    <xf numFmtId="164" fontId="4" fillId="0" borderId="1" applyAlignment="1" pivotButton="0" quotePrefix="0" xfId="0">
      <alignment horizontal="center" vertical="center"/>
    </xf>
    <xf numFmtId="0" fontId="8" fillId="0" borderId="1" applyAlignment="1" pivotButton="0" quotePrefix="0" xfId="0">
      <alignment horizontal="left" vertical="center" wrapText="1"/>
    </xf>
    <xf numFmtId="0" fontId="5" fillId="3" borderId="1" applyAlignment="1" pivotButton="0" quotePrefix="0" xfId="0">
      <alignment horizontal="center" vertical="center" wrapText="1"/>
    </xf>
    <xf numFmtId="165" fontId="5" fillId="3" borderId="1" applyAlignment="1" pivotButton="0" quotePrefix="0" xfId="0">
      <alignment horizontal="center" vertical="center" wrapText="1"/>
    </xf>
    <xf numFmtId="164"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165"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9" fillId="0" borderId="0" applyAlignment="1" pivotButton="0" quotePrefix="0" xfId="0">
      <alignment horizontal="left" vertical="top" wrapText="1"/>
    </xf>
    <xf numFmtId="0" fontId="9" fillId="0" borderId="0" applyAlignment="1" pivotButton="0" quotePrefix="0" xfId="0">
      <alignment horizontal="left" vertical="center"/>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5" fillId="3" borderId="1" applyAlignment="1" pivotButton="0" quotePrefix="0" xfId="0">
      <alignment horizontal="right" vertical="center"/>
    </xf>
    <xf numFmtId="0" fontId="0" fillId="3" borderId="1" pivotButton="0" quotePrefix="0" xfId="0"/>
    <xf numFmtId="0" fontId="5" fillId="3" borderId="1" applyAlignment="1" pivotButton="0" quotePrefix="0" xfId="0">
      <alignment horizontal="center" vertical="center"/>
    </xf>
    <xf numFmtId="0" fontId="6" fillId="0" borderId="0" applyAlignment="1" pivotButton="0" quotePrefix="0" xfId="0">
      <alignment horizontal="left" vertical="top" wrapText="1"/>
    </xf>
    <xf numFmtId="166" fontId="4" fillId="0" borderId="1" applyAlignment="1" pivotButton="0" quotePrefix="0" xfId="0">
      <alignment horizontal="center" vertical="top" wrapText="1"/>
    </xf>
    <xf numFmtId="166" fontId="4" fillId="5" borderId="1" applyAlignment="1" pivotButton="0" quotePrefix="0" xfId="0">
      <alignment horizontal="center" vertical="top" wrapText="1"/>
    </xf>
    <xf numFmtId="166" fontId="5" fillId="3" borderId="1" applyAlignment="1" pivotButton="0" quotePrefix="0" xfId="0">
      <alignment horizontal="center" vertical="center" wrapText="1"/>
    </xf>
    <xf numFmtId="0" fontId="5" fillId="0" borderId="1" pivotButton="0" quotePrefix="0" xfId="0"/>
    <xf numFmtId="166" fontId="5" fillId="7" borderId="1" applyAlignment="1" pivotButton="0" quotePrefix="0" xfId="0">
      <alignment horizontal="center" vertical="center"/>
    </xf>
    <xf numFmtId="0" fontId="6" fillId="0" borderId="1" applyAlignment="1" pivotButton="0" quotePrefix="0" xfId="0">
      <alignment horizontal="left" vertical="center" wrapText="1"/>
    </xf>
    <xf numFmtId="0" fontId="10" fillId="0" borderId="0" applyAlignment="1" pivotButton="0" quotePrefix="0" xfId="0">
      <alignment horizontal="left" vertical="top" wrapText="1"/>
    </xf>
    <xf numFmtId="0" fontId="5" fillId="7" borderId="1" applyAlignment="1" pivotButton="0" quotePrefix="0" xfId="0">
      <alignment horizontal="left" vertical="top" wrapText="1"/>
    </xf>
  </cellXfs>
  <cellStyles count="1">
    <cellStyle name="Normal" xfId="0" builtinId="0" hidden="0"/>
  </cellStyles>
  <dxfs count="5">
    <dxf>
      <font>
        <name val="Arial"/>
        <b val="1"/>
        <color rgb="009C0006"/>
        <sz val="10"/>
      </font>
      <fill>
        <patternFill patternType="solid">
          <bgColor rgb="00FFC7CE"/>
        </patternFill>
      </fill>
    </dxf>
    <dxf>
      <font>
        <name val="Arial"/>
        <color rgb="009C6500"/>
        <sz val="10"/>
      </font>
      <fill>
        <patternFill patternType="solid">
          <bgColor rgb="00FFEB9C"/>
        </patternFill>
      </fill>
    </dxf>
    <dxf>
      <font>
        <name val="Arial"/>
        <color rgb="00006100"/>
        <sz val="10"/>
      </font>
      <fill>
        <patternFill patternType="solid">
          <bgColor rgb="00C6EFCE"/>
        </patternFill>
      </fill>
    </dxf>
    <dxf>
      <font>
        <name val="Arial"/>
        <color rgb="009C0006"/>
        <sz val="10"/>
      </font>
      <fill>
        <patternFill patternType="solid">
          <bgColor rgb="00FFC7CE"/>
        </patternFill>
      </fill>
    </dxf>
    <dxf>
      <font>
        <name val="Arial"/>
        <color rgb="007F6000"/>
        <sz val="10"/>
      </font>
      <fill>
        <patternFill patternType="solid">
          <b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Plan v2</author>
  </authors>
  <commentList>
    <comment ref="C3" authorId="0" shapeId="0">
      <text>
        <t>Sonuna 'A' eklenen kodlar (W2-T02A, W3-T02A, W4-T12A) v2'de eklenen yeni gorevlerdir; mevcut kod sirasini bozmamak icin bu sekilde numaralandirilmistir.</t>
      </text>
    </comment>
    <comment ref="H3" authorId="0" shapeId="0">
      <text>
        <t>Sureler tek gelistirici, gunde 8 saat varsayimiyla tahmin edilmistir. Flutter'a gecis W1-T15, W2-T07/T08/T09/T10 gorevlerinde toplam 3 saat kazandirmistir.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1F3864"/>
    <outlinePr summaryBelow="1" summaryRight="1"/>
    <pageSetUpPr/>
  </sheetPr>
  <dimension ref="A1:F51"/>
  <sheetViews>
    <sheetView showGridLines="0" workbookViewId="0">
      <selection activeCell="A1" sqref="A1"/>
    </sheetView>
  </sheetViews>
  <sheetFormatPr baseColWidth="8" defaultRowHeight="15"/>
  <cols>
    <col width="28" customWidth="1" min="1" max="1"/>
    <col width="14" customWidth="1" min="2" max="2"/>
    <col width="14" customWidth="1" min="3" max="3"/>
    <col width="15" customWidth="1" min="4" max="4"/>
    <col width="13" customWidth="1" min="5" max="5"/>
    <col width="58" customWidth="1" min="6" max="6"/>
  </cols>
  <sheetData>
    <row r="1" ht="30" customHeight="1">
      <c r="A1" s="1" t="inlineStr">
        <is>
          <t>OZET DASHBOARD  |  Ilerleme ve Efor Takibi</t>
        </is>
      </c>
    </row>
    <row r="2" ht="22" customHeight="1">
      <c r="A2" s="2" t="inlineStr">
        <is>
          <t>Tum degerler 'Sprint Plani' sayfasindan formullerle otomatik hesaplanir. Bu sayfaya elle deger girmeyin.</t>
        </is>
      </c>
    </row>
    <row r="4">
      <c r="A4" s="3" t="inlineStr">
        <is>
          <t>PROJE KUNYESI</t>
        </is>
      </c>
    </row>
    <row r="5" ht="17" customHeight="1">
      <c r="A5" s="4" t="inlineStr">
        <is>
          <t>Proje Adı</t>
        </is>
      </c>
      <c r="B5" s="5" t="inlineStr">
        <is>
          <t>Kalori Sayacı + Akıllı Kiler Asistanı (Mobil Uygulama)</t>
        </is>
      </c>
      <c r="C5" s="6" t="n"/>
      <c r="D5" s="6" t="n"/>
      <c r="E5" s="6" t="n"/>
      <c r="F5" s="6" t="n"/>
    </row>
    <row r="6" ht="17" customHeight="1">
      <c r="A6" s="4" t="inlineStr">
        <is>
          <t>Süre</t>
        </is>
      </c>
      <c r="B6" s="5" t="inlineStr">
        <is>
          <t>20 iş günü (4 hafta) - Staj MVP</t>
        </is>
      </c>
      <c r="C6" s="6" t="n"/>
      <c r="D6" s="6" t="n"/>
      <c r="E6" s="6" t="n"/>
      <c r="F6" s="6" t="n"/>
    </row>
    <row r="7" ht="17" customHeight="1">
      <c r="A7" s="4" t="inlineStr">
        <is>
          <t>Ekip</t>
        </is>
      </c>
      <c r="B7" s="5" t="inlineStr">
        <is>
          <t>1 geliştirici (full-stack)</t>
        </is>
      </c>
      <c r="C7" s="6" t="n"/>
      <c r="D7" s="6" t="n"/>
      <c r="E7" s="6" t="n"/>
      <c r="F7" s="6" t="n"/>
    </row>
    <row r="8" ht="17" customHeight="1">
      <c r="A8" s="4" t="inlineStr">
        <is>
          <t>Mobil</t>
        </is>
      </c>
      <c r="B8" s="5" t="inlineStr">
        <is>
          <t>Flutter + Dart + Material 3 + Riverpod + go_router + dio</t>
        </is>
      </c>
      <c r="C8" s="6" t="n"/>
      <c r="D8" s="6" t="n"/>
      <c r="E8" s="6" t="n"/>
      <c r="F8" s="6" t="n"/>
    </row>
    <row r="9" ht="17" customHeight="1">
      <c r="A9" s="4" t="inlineStr">
        <is>
          <t>Backend</t>
        </is>
      </c>
      <c r="B9" s="5" t="inlineStr">
        <is>
          <t>Python / FastAPI (katmanlı mimari, JWT auth, global hata yönetimi)</t>
        </is>
      </c>
      <c r="C9" s="6" t="n"/>
      <c r="D9" s="6" t="n"/>
      <c r="E9" s="6" t="n"/>
      <c r="F9" s="6" t="n"/>
    </row>
    <row r="10" ht="17" customHeight="1">
      <c r="A10" s="4" t="inlineStr">
        <is>
          <t>İlişkisel DB</t>
        </is>
      </c>
      <c r="B10" s="5" t="inlineStr">
        <is>
          <t>SQLite - 21 tablo (kullanıcı, sözlük, kiler+olaylar, kalori, tarif, AI)</t>
        </is>
      </c>
      <c r="C10" s="6" t="n"/>
      <c r="D10" s="6" t="n"/>
      <c r="E10" s="6" t="n"/>
      <c r="F10" s="6" t="n"/>
    </row>
    <row r="11" ht="17" customHeight="1">
      <c r="A11" s="4" t="inlineStr">
        <is>
          <t>Doküman DB</t>
        </is>
      </c>
      <c r="B11" s="5" t="inlineStr">
        <is>
          <t>MongoDB Atlas M0 (recipes koleksiyonu)</t>
        </is>
      </c>
      <c r="C11" s="6" t="n"/>
      <c r="D11" s="6" t="n"/>
      <c r="E11" s="6" t="n"/>
      <c r="F11" s="6" t="n"/>
    </row>
    <row r="12" ht="17" customHeight="1">
      <c r="A12" s="4" t="inlineStr">
        <is>
          <t>Birleştirme anahtarı</t>
        </is>
      </c>
      <c r="B12" s="5" t="inlineStr">
        <is>
          <t>ingredients.canonical_name  &lt;-&gt;  recipes.ingredients[].canonical_name</t>
        </is>
      </c>
      <c r="C12" s="6" t="n"/>
      <c r="D12" s="6" t="n"/>
      <c r="E12" s="6" t="n"/>
      <c r="F12" s="6" t="n"/>
    </row>
    <row r="13" ht="17" customHeight="1">
      <c r="A13" s="4" t="inlineStr">
        <is>
          <t>Yapay Zeka</t>
        </is>
      </c>
      <c r="B13" s="5" t="inlineStr">
        <is>
          <t>Groq üzerinde LLaMA 3 + RAG mimarisi + llm_cache yanıt önbelleği</t>
        </is>
      </c>
      <c r="C13" s="6" t="n"/>
      <c r="D13" s="6" t="n"/>
      <c r="E13" s="6" t="n"/>
      <c r="F13" s="6" t="n"/>
    </row>
    <row r="14" ht="17" customHeight="1">
      <c r="A14" s="4" t="inlineStr">
        <is>
          <t>Cihaz Üstü AI</t>
        </is>
      </c>
      <c r="B14" s="5" t="inlineStr">
        <is>
          <t>Google ML Kit - mobile_scanner ile barkod okuma (ücretsiz, offline)</t>
        </is>
      </c>
      <c r="C14" s="6" t="n"/>
      <c r="D14" s="6" t="n"/>
      <c r="E14" s="6" t="n"/>
      <c r="F14" s="6" t="n"/>
    </row>
    <row r="15" ht="17" customHeight="1">
      <c r="A15" s="4" t="inlineStr">
        <is>
          <t>Dış Veri</t>
        </is>
      </c>
      <c r="B15" s="5" t="inlineStr">
        <is>
          <t>Open Food Facts (barkod + besin değeri), Kaggle tarif veri setleri</t>
        </is>
      </c>
      <c r="C15" s="6" t="n"/>
      <c r="D15" s="6" t="n"/>
      <c r="E15" s="6" t="n"/>
      <c r="F15" s="6" t="n"/>
    </row>
    <row r="16" ht="17" customHeight="1">
      <c r="A16" s="4" t="inlineStr">
        <is>
          <t>Hedef Platform</t>
        </is>
      </c>
      <c r="B16" s="5" t="inlineStr">
        <is>
          <t>Yalnızca Android (.apk) - geliştirme ortamı Windows, iOS V2'ye alındı</t>
        </is>
      </c>
      <c r="C16" s="6" t="n"/>
      <c r="D16" s="6" t="n"/>
      <c r="E16" s="6" t="n"/>
      <c r="F16" s="6" t="n"/>
    </row>
    <row r="17" ht="17" customHeight="1">
      <c r="A17" s="4" t="inlineStr">
        <is>
          <t>Test Cihazı</t>
        </is>
      </c>
      <c r="B17" s="5" t="inlineStr">
        <is>
          <t>Android emülatörü + Webcam0 geçişi; E2E için ödünç gerçek cihaz (W4-T11)</t>
        </is>
      </c>
      <c r="C17" s="6" t="n"/>
      <c r="D17" s="6" t="n"/>
      <c r="E17" s="6" t="n"/>
      <c r="F17" s="6" t="n"/>
    </row>
    <row r="18" ht="17" customHeight="1">
      <c r="A18" s="4" t="inlineStr">
        <is>
          <t>MVP Kapsam Dışı</t>
        </is>
      </c>
      <c r="B18" s="5" t="inlineStr">
        <is>
          <t>Fiş OCR (V3), görsel obje tanıma (V3), sosyal ağ (V3), iOS sürümü (V2)</t>
        </is>
      </c>
      <c r="C18" s="6" t="n"/>
      <c r="D18" s="6" t="n"/>
      <c r="E18" s="6" t="n"/>
      <c r="F18" s="6" t="n"/>
    </row>
    <row r="20">
      <c r="A20" s="3" t="inlineStr">
        <is>
          <t>HAFTALIK EFOR DAGILIMI</t>
        </is>
      </c>
    </row>
    <row r="21" ht="24" customHeight="1">
      <c r="A21" s="7" t="inlineStr">
        <is>
          <t>Hafta</t>
        </is>
      </c>
      <c r="B21" s="7" t="inlineStr">
        <is>
          <t>Görev Sayısı</t>
        </is>
      </c>
      <c r="C21" s="7" t="inlineStr">
        <is>
          <t>Toplam Saat</t>
        </is>
      </c>
      <c r="D21" s="7" t="inlineStr">
        <is>
          <t>Tamamlanan Saat</t>
        </is>
      </c>
      <c r="E21" s="7" t="inlineStr">
        <is>
          <t>İlerleme %</t>
        </is>
      </c>
      <c r="F21" s="7" t="inlineStr">
        <is>
          <t>Odak</t>
        </is>
      </c>
    </row>
    <row r="22" ht="28" customHeight="1">
      <c r="A22" s="8" t="inlineStr">
        <is>
          <t>Hafta 1</t>
        </is>
      </c>
      <c r="B22" s="9">
        <f>COUNTIF('Sprint Plani'!$A$4:$A$77,$A22)</f>
        <v/>
      </c>
      <c r="C22" s="10">
        <f>SUMIF('Sprint Plani'!$A$4:$A$77,$A22,'Sprint Plani'!$H$4:$H$77)</f>
        <v/>
      </c>
      <c r="D22" s="10">
        <f>SUMIFS('Sprint Plani'!$H$4:$H$77,'Sprint Plani'!$A$4:$A$77,$A22,'Sprint Plani'!$K$4:$K$77,"Tamamlandı")</f>
        <v/>
      </c>
      <c r="E22" s="11">
        <f>IFERROR($D22/$C22,0)</f>
        <v/>
      </c>
      <c r="F22" s="12" t="inlineStr">
        <is>
          <t>Mimari, 21 tablolu şema tasarımı, ORM+Alembic, auth, Flutter iskelet, onboarding, malzeme sözlüğü</t>
        </is>
      </c>
    </row>
    <row r="23" ht="28" customHeight="1">
      <c r="A23" s="8" t="inlineStr">
        <is>
          <t>Hafta 2</t>
        </is>
      </c>
      <c r="B23" s="9">
        <f>COUNTIF('Sprint Plani'!$A$4:$A$77,$A23)</f>
        <v/>
      </c>
      <c r="C23" s="10">
        <f>SUMIF('Sprint Plani'!$A$4:$A$77,$A23,'Sprint Plani'!$H$4:$H$77)</f>
        <v/>
      </c>
      <c r="D23" s="10">
        <f>SUMIFS('Sprint Plani'!$H$4:$H$77,'Sprint Plani'!$A$4:$A$77,$A23,'Sprint Plani'!$K$4:$K$77,"Tamamlandı")</f>
        <v/>
      </c>
      <c r="E23" s="11">
        <f>IFERROR($D23/$C23,0)</f>
        <v/>
      </c>
      <c r="F23" s="12" t="inlineStr">
        <is>
          <t>Kiler CRUD, temel birim, pantry_events olay günlüğü, mobile_scanner barkod, Open Food Facts, kalori sayacı</t>
        </is>
      </c>
    </row>
    <row r="24" ht="28" customHeight="1">
      <c r="A24" s="8" t="inlineStr">
        <is>
          <t>Hafta 3</t>
        </is>
      </c>
      <c r="B24" s="9">
        <f>COUNTIF('Sprint Plani'!$A$4:$A$77,$A24)</f>
        <v/>
      </c>
      <c r="C24" s="10">
        <f>SUMIF('Sprint Plani'!$A$4:$A$77,$A24,'Sprint Plani'!$H$4:$H$77)</f>
        <v/>
      </c>
      <c r="D24" s="10">
        <f>SUMIFS('Sprint Plani'!$H$4:$H$77,'Sprint Plani'!$A$4:$A$77,$A24,'Sprint Plani'!$K$4:$K$77,"Tamamlandı")</f>
        <v/>
      </c>
      <c r="E24" s="11">
        <f>IFERROR($D24/$C24,0)</f>
        <v/>
      </c>
      <c r="F24" s="12" t="inlineStr">
        <is>
          <t>Üç aşamalı malzeme eşleştirme, aggregation skoru, alerjen filtresi, öğrenen profil, RAG chatbot</t>
        </is>
      </c>
    </row>
    <row r="25" ht="28" customHeight="1">
      <c r="A25" s="8" t="inlineStr">
        <is>
          <t>Hafta 4</t>
        </is>
      </c>
      <c r="B25" s="9">
        <f>COUNTIF('Sprint Plani'!$A$4:$A$77,$A25)</f>
        <v/>
      </c>
      <c r="C25" s="10">
        <f>SUMIF('Sprint Plani'!$A$4:$A$77,$A25,'Sprint Plani'!$H$4:$H$77)</f>
        <v/>
      </c>
      <c r="D25" s="10">
        <f>SUMIFS('Sprint Plani'!$H$4:$H$77,'Sprint Plani'!$A$4:$A$77,$A25,'Sprint Plani'!$K$4:$K$77,"Tamamlandı")</f>
        <v/>
      </c>
      <c r="E25" s="11">
        <f>IFERROR($D25/$C25,0)</f>
        <v/>
      </c>
      <c r="F25" s="12" t="inlineStr">
        <is>
          <t>Yeşil/kırmızı/gri kartlar, stok düşümü, alışveriş listesi, testler, KVKK, APK, sunum</t>
        </is>
      </c>
    </row>
    <row r="26">
      <c r="A26" s="13" t="inlineStr">
        <is>
          <t>TOPLAM</t>
        </is>
      </c>
      <c r="B26" s="13">
        <f>SUM(B22:B25)</f>
        <v/>
      </c>
      <c r="C26" s="14">
        <f>SUM(C22:C25)</f>
        <v/>
      </c>
      <c r="D26" s="14">
        <f>SUM(D22:D25)</f>
        <v/>
      </c>
      <c r="E26" s="15">
        <f>IFERROR(D26/C26,0)</f>
        <v/>
      </c>
      <c r="F26" s="16" t="inlineStr">
        <is>
          <t>Kapasite 160 saat (20 gün x 8 saat). 6.5 saatlik fazlalık için kesim sırası: W4-T07 &gt; W4-T17 &gt; W3-T16.</t>
        </is>
      </c>
    </row>
    <row r="28">
      <c r="A28" s="3" t="inlineStr">
        <is>
          <t>DURUM VE ONCELIK DAGILIMI</t>
        </is>
      </c>
    </row>
    <row r="29" ht="22" customHeight="1">
      <c r="A29" s="7" t="inlineStr">
        <is>
          <t>Kategori</t>
        </is>
      </c>
      <c r="B29" s="7" t="inlineStr">
        <is>
          <t>Değer</t>
        </is>
      </c>
      <c r="C29" s="7" t="inlineStr">
        <is>
          <t>Adet</t>
        </is>
      </c>
      <c r="D29" s="7" t="inlineStr">
        <is>
          <t>Saat</t>
        </is>
      </c>
      <c r="E29" s="7" t="inlineStr"/>
      <c r="F29" s="7" t="inlineStr">
        <is>
          <t>Açıklama</t>
        </is>
      </c>
    </row>
    <row r="30" ht="17" customHeight="1">
      <c r="A30" s="17" t="inlineStr">
        <is>
          <t>Durum</t>
        </is>
      </c>
      <c r="B30" s="18" t="inlineStr">
        <is>
          <t>Yapılacak</t>
        </is>
      </c>
      <c r="C30" s="18">
        <f>COUNTIF('Sprint Plani'!$K$4:$K$77,$B30)</f>
        <v/>
      </c>
      <c r="D30" s="19">
        <f>SUMIF('Sprint Plani'!$K$4:$K$77,$B30,'Sprint Plani'!$H$4:$H$77)</f>
        <v/>
      </c>
      <c r="E30" s="18" t="n"/>
      <c r="F30" s="20" t="inlineStr">
        <is>
          <t>Henüz başlanmamış görevler</t>
        </is>
      </c>
    </row>
    <row r="31" ht="17" customHeight="1">
      <c r="A31" s="17" t="inlineStr">
        <is>
          <t>Durum</t>
        </is>
      </c>
      <c r="B31" s="18" t="inlineStr">
        <is>
          <t>Devam Ediyor</t>
        </is>
      </c>
      <c r="C31" s="18">
        <f>COUNTIF('Sprint Plani'!$K$4:$K$77,$B31)</f>
        <v/>
      </c>
      <c r="D31" s="19">
        <f>SUMIF('Sprint Plani'!$K$4:$K$77,$B31,'Sprint Plani'!$H$4:$H$77)</f>
        <v/>
      </c>
      <c r="E31" s="18" t="n"/>
      <c r="F31" s="20" t="inlineStr">
        <is>
          <t>Üzerinde çalışılan görevler</t>
        </is>
      </c>
    </row>
    <row r="32" ht="17" customHeight="1">
      <c r="A32" s="17" t="inlineStr">
        <is>
          <t>Durum</t>
        </is>
      </c>
      <c r="B32" s="18" t="inlineStr">
        <is>
          <t>Tamamlandı</t>
        </is>
      </c>
      <c r="C32" s="18">
        <f>COUNTIF('Sprint Plani'!$K$4:$K$77,$B32)</f>
        <v/>
      </c>
      <c r="D32" s="19">
        <f>SUMIF('Sprint Plani'!$K$4:$K$77,$B32,'Sprint Plani'!$H$4:$H$77)</f>
        <v/>
      </c>
      <c r="E32" s="18" t="n"/>
      <c r="F32" s="20" t="inlineStr">
        <is>
          <t>Kabul kriteri karşılanmış görevler</t>
        </is>
      </c>
    </row>
    <row r="33" ht="17" customHeight="1">
      <c r="A33" s="17" t="inlineStr">
        <is>
          <t>Durum</t>
        </is>
      </c>
      <c r="B33" s="18" t="inlineStr">
        <is>
          <t>Bloke</t>
        </is>
      </c>
      <c r="C33" s="18">
        <f>COUNTIF('Sprint Plani'!$K$4:$K$77,$B33)</f>
        <v/>
      </c>
      <c r="D33" s="19">
        <f>SUMIF('Sprint Plani'!$K$4:$K$77,$B33,'Sprint Plani'!$H$4:$H$77)</f>
        <v/>
      </c>
      <c r="E33" s="18" t="n"/>
      <c r="F33" s="20" t="inlineStr">
        <is>
          <t>Dış bağımlılık veya hata nedeniyle duran görevler</t>
        </is>
      </c>
    </row>
    <row r="34" ht="17" customHeight="1">
      <c r="A34" s="17" t="inlineStr">
        <is>
          <t>Öncelik</t>
        </is>
      </c>
      <c r="B34" s="18" t="inlineStr">
        <is>
          <t>Kritik</t>
        </is>
      </c>
      <c r="C34" s="18">
        <f>COUNTIF('Sprint Plani'!$I$4:$I$77,$B34)</f>
        <v/>
      </c>
      <c r="D34" s="19">
        <f>SUMIF('Sprint Plani'!$I$4:$I$77,$B34,'Sprint Plani'!$H$4:$H$77)</f>
        <v/>
      </c>
      <c r="E34" s="18" t="n"/>
      <c r="F34" s="20" t="inlineStr">
        <is>
          <t>MVP'nin çalışması için zorunlu - asla ertelenmez</t>
        </is>
      </c>
    </row>
    <row r="35" ht="17" customHeight="1">
      <c r="A35" s="17" t="inlineStr">
        <is>
          <t>Öncelik</t>
        </is>
      </c>
      <c r="B35" s="18" t="inlineStr">
        <is>
          <t>Yüksek</t>
        </is>
      </c>
      <c r="C35" s="18">
        <f>COUNTIF('Sprint Plani'!$I$4:$I$77,$B35)</f>
        <v/>
      </c>
      <c r="D35" s="19">
        <f>SUMIF('Sprint Plani'!$I$4:$I$77,$B35,'Sprint Plani'!$H$4:$H$77)</f>
        <v/>
      </c>
      <c r="E35" s="18" t="n"/>
      <c r="F35" s="20" t="inlineStr">
        <is>
          <t>Ürün değerini belirgin artıran görevler</t>
        </is>
      </c>
    </row>
    <row r="36" ht="17" customHeight="1">
      <c r="A36" s="17" t="inlineStr">
        <is>
          <t>Öncelik</t>
        </is>
      </c>
      <c r="B36" s="18" t="inlineStr">
        <is>
          <t>Orta</t>
        </is>
      </c>
      <c r="C36" s="18">
        <f>COUNTIF('Sprint Plani'!$I$4:$I$77,$B36)</f>
        <v/>
      </c>
      <c r="D36" s="19">
        <f>SUMIF('Sprint Plani'!$I$4:$I$77,$B36,'Sprint Plani'!$H$4:$H$77)</f>
        <v/>
      </c>
      <c r="E36" s="18" t="n"/>
      <c r="F36" s="20" t="inlineStr">
        <is>
          <t>Kalite ve deneyim iyileştirmeleri</t>
        </is>
      </c>
    </row>
    <row r="37" ht="17" customHeight="1">
      <c r="A37" s="17" t="inlineStr">
        <is>
          <t>Öncelik</t>
        </is>
      </c>
      <c r="B37" s="18" t="inlineStr">
        <is>
          <t>Düşük</t>
        </is>
      </c>
      <c r="C37" s="18">
        <f>COUNTIF('Sprint Plani'!$I$4:$I$77,$B37)</f>
        <v/>
      </c>
      <c r="D37" s="19">
        <f>SUMIF('Sprint Plani'!$I$4:$I$77,$B37,'Sprint Plani'!$H$4:$H$77)</f>
        <v/>
      </c>
      <c r="E37" s="18" t="n"/>
      <c r="F37" s="20" t="inlineStr">
        <is>
          <t>Süre sıkışırsa ilk feda edilecek görevler</t>
        </is>
      </c>
    </row>
    <row r="39">
      <c r="A39" s="3" t="inlineStr">
        <is>
          <t>v2 DEGISIKLIK OZETI</t>
        </is>
      </c>
    </row>
    <row r="40" ht="37.5" customHeight="1">
      <c r="A40" s="21" t="inlineStr">
        <is>
          <t>1) Mobil yigin React Native -&gt; FLUTTER. Gerekce: mobile_scanner (ML Kit) kurulumu vision-camera + Expo Dev Client zincirinden cok daha basit; 1 numarali risk (native build hatalari) azaliyor. Dismissible, showModalBottomSheet, showDatePicker, SnackBar yerlesik geldigi icin 3 saat kazanildi.</t>
        </is>
      </c>
    </row>
    <row r="41" ht="25" customHeight="1">
      <c r="A41" s="21" t="inlineStr">
        <is>
          <t>2) Hedef platform YALNIZCA ANDROID. Gerekce: gelistirme ortami Windows; iOS derlemesi macOS + Xcode gerektiriyor. iOS surumu V2 backlog'una alindi.</t>
        </is>
      </c>
    </row>
    <row r="42" ht="25" customHeight="1">
      <c r="A42" s="21" t="inlineStr">
        <is>
          <t>3) UC YENI GOREV eklendi (yesil satirlar): W2-T02A pantry_events (kiler hareket gunlugu), W3-T02A unmatched_ingredients (kendini iyilestiren sozluk), W4-T12A KVKK veri disa aktarma ve hesap silme. Toplam +3.5 saat.</t>
        </is>
      </c>
    </row>
    <row r="43" ht="25" customHeight="1">
      <c r="A43" s="21" t="inlineStr">
        <is>
          <t>4) Veritabani semasi 8 -&gt; 21 TABLO. ingredients normalize sozluk katmani eklendi; yesil/kirmizi/GRI uc durumu ancak bu sayede uretilebiliyor.</t>
        </is>
      </c>
    </row>
    <row r="44" ht="25" customHeight="1">
      <c r="A44" s="21" t="inlineStr">
        <is>
          <t>5) Fiziksel Android cihaz olmadigi icin W1-T13'e BarcodeScanner soyutlamasi + FakeBarcodeScanner eklendi; gelistirme cihazdan bagimsiz hale getirildi.</t>
        </is>
      </c>
    </row>
    <row r="46">
      <c r="A46" s="3" t="inlineStr">
        <is>
          <t>KULLANIM KILAVUZU</t>
        </is>
      </c>
    </row>
    <row r="47" ht="15" customHeight="1">
      <c r="A47" s="22" t="inlineStr">
        <is>
          <t>Elle doldurulacak TEK alan: 'Sprint Plani' sayfasindaki K sutunu (Durum). Acilir listeden secim yapin.</t>
        </is>
      </c>
    </row>
    <row r="48" ht="15" customHeight="1">
      <c r="A48" s="22" t="inlineStr">
        <is>
          <t>Ornek: K4 hucresini 'Tamamlandi' yaptiginizda bu sayfadaki ilerleme yuzdeleri otomatik guncellenir.</t>
        </is>
      </c>
    </row>
    <row r="49" ht="15" customHeight="1">
      <c r="A49" s="22" t="inlineStr">
        <is>
          <t>Renk kodlari: Kirmizi = Kritik oncelik / Bloke, Sari = Yuksek oncelik / Devam Ediyor, Yesil = Tamamlandi.</t>
        </is>
      </c>
    </row>
    <row r="50" ht="15" customHeight="1">
      <c r="A50" s="22" t="inlineStr">
        <is>
          <t>Sprint Plani'nda YESIL ARKA PLANLI satirlar v2'de eklenen yeni gorevlerdir.</t>
        </is>
      </c>
    </row>
    <row r="51" ht="15" customHeight="1">
      <c r="A51" s="22" t="inlineStr">
        <is>
          <t>3. satirdaki filtre oklarindan haftaya, module, oncelige veya duruma gore suzebilirsiniz.</t>
        </is>
      </c>
    </row>
  </sheetData>
  <mergeCells count="26">
    <mergeCell ref="A41:F41"/>
    <mergeCell ref="B7:F7"/>
    <mergeCell ref="B16:F16"/>
    <mergeCell ref="A50:F50"/>
    <mergeCell ref="B18:F18"/>
    <mergeCell ref="A2:F2"/>
    <mergeCell ref="B12:F12"/>
    <mergeCell ref="A47:F47"/>
    <mergeCell ref="A42:F42"/>
    <mergeCell ref="B11:F11"/>
    <mergeCell ref="B14:F14"/>
    <mergeCell ref="B8:F8"/>
    <mergeCell ref="B17:F17"/>
    <mergeCell ref="B13:F13"/>
    <mergeCell ref="A43:F43"/>
    <mergeCell ref="A44:F44"/>
    <mergeCell ref="B10:F10"/>
    <mergeCell ref="A40:F40"/>
    <mergeCell ref="A48:F48"/>
    <mergeCell ref="B9:F9"/>
    <mergeCell ref="A49:F49"/>
    <mergeCell ref="A51:F51"/>
    <mergeCell ref="B6:F6"/>
    <mergeCell ref="B15:F15"/>
    <mergeCell ref="A1:F1"/>
    <mergeCell ref="B5:F5"/>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K82"/>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11" customWidth="1" min="3" max="3"/>
    <col width="17" customWidth="1" min="4" max="4"/>
    <col width="30" customWidth="1" min="5" max="5"/>
    <col width="66" customWidth="1" min="6" max="6"/>
    <col width="40" customWidth="1" min="7" max="7"/>
    <col width="9" customWidth="1" min="8" max="8"/>
    <col width="10" customWidth="1" min="9" max="9"/>
    <col width="12" customWidth="1" min="10" max="10"/>
    <col width="14" customWidth="1" min="11" max="11"/>
  </cols>
  <sheetData>
    <row r="1" ht="30" customHeight="1">
      <c r="A1" s="1" t="inlineStr">
        <is>
          <t>KALORI SAYACI + AKILLI KILER ASISTANI  |  20 IS GUNLUK STAJ MVP SPRINT PLANI  (v2)</t>
        </is>
      </c>
    </row>
    <row r="2" ht="22" customHeight="1">
      <c r="A2" s="2" t="inlineStr">
        <is>
          <t>Yigin: Flutter (Dart) + FastAPI + SQLite (21 tablo) + MongoDB + Google ML Kit (mobile_scanner) + Open Food Facts + Groq/LLaMA 3   ||   Hedef platform: yalnizca Android (.apk) - gelistirme ortami Windows   ||   Kapsam disi: fis OCR ve gorsel obje tanima (V3)   ||   Yesil satirlar = v2'de eklenen yeni gorevler</t>
        </is>
      </c>
    </row>
    <row r="3" ht="32" customHeight="1">
      <c r="A3" s="7" t="inlineStr">
        <is>
          <t>Hafta</t>
        </is>
      </c>
      <c r="B3" s="7" t="inlineStr">
        <is>
          <t>Gün</t>
        </is>
      </c>
      <c r="C3" s="7" t="inlineStr">
        <is>
          <t>Görev Kodu</t>
        </is>
      </c>
      <c r="D3" s="7" t="inlineStr">
        <is>
          <t>Modül</t>
        </is>
      </c>
      <c r="E3" s="7" t="inlineStr">
        <is>
          <t>Atomik Görev Adı</t>
        </is>
      </c>
      <c r="F3" s="7" t="inlineStr">
        <is>
          <t>Nasıl Yapılacak / Kullanılacak Teknolojiler</t>
        </is>
      </c>
      <c r="G3" s="7" t="inlineStr">
        <is>
          <t>Kabul Kriteri (Definition of Done)</t>
        </is>
      </c>
      <c r="H3" s="7" t="inlineStr">
        <is>
          <t>Tahmini Süre (Saat)</t>
        </is>
      </c>
      <c r="I3" s="7" t="inlineStr">
        <is>
          <t>Öncelik</t>
        </is>
      </c>
      <c r="J3" s="7" t="inlineStr">
        <is>
          <t>Bağımlılık</t>
        </is>
      </c>
      <c r="K3" s="7" t="inlineStr">
        <is>
          <t>Durum</t>
        </is>
      </c>
    </row>
    <row r="4" ht="67" customHeight="1">
      <c r="A4" s="23" t="inlineStr">
        <is>
          <t>Hafta 1</t>
        </is>
      </c>
      <c r="B4" s="23" t="inlineStr">
        <is>
          <t>Gün 1</t>
        </is>
      </c>
      <c r="C4" s="23" t="inlineStr">
        <is>
          <t>W1-T01</t>
        </is>
      </c>
      <c r="D4" s="24" t="inlineStr">
        <is>
          <t>Kurulum &amp; DevOps</t>
        </is>
      </c>
      <c r="E4" s="24" t="inlineStr">
        <is>
          <t>Proje Reposu ve Klasör Mimarisinin Kurulması</t>
        </is>
      </c>
      <c r="F4" s="24" t="inlineStr">
        <is>
          <t>GitHub'da private repo açılır. Monorepo yapısı: /backend (FastAPI), /mobile (Flutter), /docs (diyagramlar), /data (seed JSON). Python + Dart/Flutter için .gitignore, README taslağı, CONTRIBUTING.md eklenir. Branch stratejisi: main (korumalı) + develop + feature/* . Conventional Commits kuralı belirlenir.</t>
        </is>
      </c>
      <c r="G4" s="24" t="inlineStr">
        <is>
          <t>Repoya ilk commit atılmış, develop branch açılmış, 4 klasörlü yapı GitHub'da görünüyor.</t>
        </is>
      </c>
      <c r="H4" s="23" t="n">
        <v>2</v>
      </c>
      <c r="I4" s="23" t="inlineStr">
        <is>
          <t>Kritik</t>
        </is>
      </c>
      <c r="J4" s="23" t="inlineStr">
        <is>
          <t>-</t>
        </is>
      </c>
      <c r="K4" s="23" t="inlineStr">
        <is>
          <t>Yapılacak</t>
        </is>
      </c>
    </row>
    <row r="5" ht="67" customHeight="1">
      <c r="A5" s="25" t="inlineStr">
        <is>
          <t>Hafta 1</t>
        </is>
      </c>
      <c r="B5" s="25" t="inlineStr">
        <is>
          <t>Gün 1</t>
        </is>
      </c>
      <c r="C5" s="25" t="inlineStr">
        <is>
          <t>W1-T02</t>
        </is>
      </c>
      <c r="D5" s="26" t="inlineStr">
        <is>
          <t>Backend</t>
        </is>
      </c>
      <c r="E5" s="26" t="inlineStr">
        <is>
          <t>Python Sanal Ortam ve Bağımlılık Yönetimi</t>
        </is>
      </c>
      <c r="F5" s="26" t="inlineStr">
        <is>
          <t>python -m venv .venv ile izole ortam. requirements.txt: fastapi, uvicorn[standard], sqlalchemy, alembic, pydantic, pydantic-settings, python-jose[cryptography], passlib[bcrypt], bcrypt==4.0.1, python-multipart, httpx, motor, python-dotenv, rapidfuzz, pytest, pytest-asyncio. pip freeze ile requirements.lock.txt üretilir.</t>
        </is>
      </c>
      <c r="G5" s="26" t="inlineStr">
        <is>
          <t>pip install -r requirements.txt hatasız; uvicorn app.main:app --reload ayağa kalkıyor.</t>
        </is>
      </c>
      <c r="H5" s="25" t="n">
        <v>1.5</v>
      </c>
      <c r="I5" s="25" t="inlineStr">
        <is>
          <t>Kritik</t>
        </is>
      </c>
      <c r="J5" s="25" t="inlineStr">
        <is>
          <t>W1-T01</t>
        </is>
      </c>
      <c r="K5" s="25" t="inlineStr">
        <is>
          <t>Yapılacak</t>
        </is>
      </c>
    </row>
    <row r="6" ht="67" customHeight="1">
      <c r="A6" s="23" t="inlineStr">
        <is>
          <t>Hafta 1</t>
        </is>
      </c>
      <c r="B6" s="23" t="inlineStr">
        <is>
          <t>Gün 1</t>
        </is>
      </c>
      <c r="C6" s="23" t="inlineStr">
        <is>
          <t>W1-T03</t>
        </is>
      </c>
      <c r="D6" s="24" t="inlineStr">
        <is>
          <t>Backend</t>
        </is>
      </c>
      <c r="E6" s="24" t="inlineStr">
        <is>
          <t>FastAPI Katmanlı Mimari İskeleti</t>
        </is>
      </c>
      <c r="F6" s="24" t="inlineStr">
        <is>
          <t>app/ altında core (config, security, exceptions), db (base, session), models, schemas, routers, services klasörleri. pydantic-settings ile .env okuma, CORS middleware, global exception handler (tutarlı {code, message} hata formatı), /health ve /api/v1 versiyonlaması, Swagger UI.</t>
        </is>
      </c>
      <c r="G6" s="24" t="inlineStr">
        <is>
          <t>GET /health 200 dönüyor; /docs açılıyor; olmayan yol {code, message} formatında 404 dönüyor.</t>
        </is>
      </c>
      <c r="H6" s="23" t="n">
        <v>2.5</v>
      </c>
      <c r="I6" s="23" t="inlineStr">
        <is>
          <t>Kritik</t>
        </is>
      </c>
      <c r="J6" s="23" t="inlineStr">
        <is>
          <t>W1-T02</t>
        </is>
      </c>
      <c r="K6" s="23" t="inlineStr">
        <is>
          <t>Yapılacak</t>
        </is>
      </c>
    </row>
    <row r="7" ht="117.4" customHeight="1">
      <c r="A7" s="25" t="inlineStr">
        <is>
          <t>Hafta 1</t>
        </is>
      </c>
      <c r="B7" s="25" t="inlineStr">
        <is>
          <t>Gün 1-2</t>
        </is>
      </c>
      <c r="C7" s="25" t="inlineStr">
        <is>
          <t>W1-T04</t>
        </is>
      </c>
      <c r="D7" s="26" t="inlineStr">
        <is>
          <t>Veritabanı</t>
        </is>
      </c>
      <c r="E7" s="26" t="inlineStr">
        <is>
          <t>İlişkisel Şema (SQLite) E-R Modellemesi - 21 Tablo</t>
        </is>
      </c>
      <c r="F7" s="26" t="inlineStr">
        <is>
          <t>dbdiagram.io ile DBML yazılıp E-R modeli çizilir. 21 tablo, 6 grup: kullanıcı (6), sözlük/katalog (5), kiler+alışveriş (3), kalori (2), tarif etkileşimi (3), chatbot/AI (3). Üç anahtar tasarım ilkesi belirlenir: (1) ingredients normalize sözlük katmanı SQLite ile MongoDB arasındaki birleştirme anahtarı, (2) miktarlar tek temel birimde saklanır (g/ml/adet), (3) geçmiş kayıtlar anlık görüntü (snapshot) tutar. PK/FK, UNIQUE(barcode), UNIQUE(canonical_name), CHECK(quantity_base&gt;=0), 1:1 / 1:N / N:N ilişkiler ve indeks kararları verilir.</t>
        </is>
      </c>
      <c r="G7" s="26" t="inlineStr">
        <is>
          <t>docs/er-diagram.png + docs/schema.dbml + docs/schema-notes.md repoda; 21 tablo ve 3 ilişki tipi de diyagramda.</t>
        </is>
      </c>
      <c r="H7" s="25" t="n">
        <v>2.5</v>
      </c>
      <c r="I7" s="25" t="inlineStr">
        <is>
          <t>Kritik</t>
        </is>
      </c>
      <c r="J7" s="25" t="inlineStr">
        <is>
          <t>W1-T01</t>
        </is>
      </c>
      <c r="K7" s="25" t="inlineStr">
        <is>
          <t>Yapılacak</t>
        </is>
      </c>
    </row>
    <row r="8" ht="104.8" customHeight="1">
      <c r="A8" s="23" t="inlineStr">
        <is>
          <t>Hafta 1</t>
        </is>
      </c>
      <c r="B8" s="23" t="inlineStr">
        <is>
          <t>Gün 2</t>
        </is>
      </c>
      <c r="C8" s="23" t="inlineStr">
        <is>
          <t>W1-T05</t>
        </is>
      </c>
      <c r="D8" s="24" t="inlineStr">
        <is>
          <t>Veritabanı</t>
        </is>
      </c>
      <c r="E8" s="24" t="inlineStr">
        <is>
          <t>SQLAlchemy ORM Modellerinin Yazılması (21 Model)</t>
        </is>
      </c>
      <c r="F8" s="24" t="inlineStr">
        <is>
          <t>models/ altında User, UserProfile, DietTag, Allergen, Category, Ingredient, IngredientAlias, UnmatchedIngredient, Product, PantryItem, PantryEvent, ShoppingListItem, MealLog, WeightLog, RecipeFeedback, RecipeFavorite, UserTasteWeight, ChatConversation, ChatMessage, LlmCache + 2 N:N bağlantı tablosu. relationship() + back_populates, cascade='all, delete-orphan', Enum(native_enum=False) ile TEXT+CHECK. KRİTİK: session.py'ye PRAGMA foreign_keys=ON event listener eklenir (SQLite'ta FK zorlaması varsayılan KAPALI).</t>
        </is>
      </c>
      <c r="G8" s="24" t="inlineStr">
        <is>
          <t>Tüm modeller import ediliyor; create_all ile 21 tablo oluşuyor; kullanıcı silinince ilişkili kayıtlar CASCADE ile siliniyor.</t>
        </is>
      </c>
      <c r="H8" s="23" t="n">
        <v>3</v>
      </c>
      <c r="I8" s="23" t="inlineStr">
        <is>
          <t>Kritik</t>
        </is>
      </c>
      <c r="J8" s="23" t="inlineStr">
        <is>
          <t>W1-T04</t>
        </is>
      </c>
      <c r="K8" s="23" t="inlineStr">
        <is>
          <t>Yapılacak</t>
        </is>
      </c>
    </row>
    <row r="9" ht="41.8" customHeight="1">
      <c r="A9" s="25" t="inlineStr">
        <is>
          <t>Hafta 1</t>
        </is>
      </c>
      <c r="B9" s="25" t="inlineStr">
        <is>
          <t>Gün 2</t>
        </is>
      </c>
      <c r="C9" s="25" t="inlineStr">
        <is>
          <t>W1-T06</t>
        </is>
      </c>
      <c r="D9" s="26" t="inlineStr">
        <is>
          <t>Veritabanı</t>
        </is>
      </c>
      <c r="E9" s="26" t="inlineStr">
        <is>
          <t>Alembic Migration Altyapısı</t>
        </is>
      </c>
      <c r="F9" s="26" t="inlineStr">
        <is>
          <t>alembic init, env.py'de target_metadata bağlanır ve render_as_batch=True ayarlanır (SQLite'ın ALTER TABLE kısıtı için ZORUNLU). İlk autogenerate migration üretilip upgrade head çalıştırılır.</t>
        </is>
      </c>
      <c r="G9" s="26" t="inlineStr">
        <is>
          <t>alembic upgrade head hatasız; kalori.db ilk kez oluşuyor; versions/ altında migration var.</t>
        </is>
      </c>
      <c r="H9" s="25" t="n">
        <v>1.5</v>
      </c>
      <c r="I9" s="25" t="inlineStr">
        <is>
          <t>Yüksek</t>
        </is>
      </c>
      <c r="J9" s="25" t="inlineStr">
        <is>
          <t>W1-T05</t>
        </is>
      </c>
      <c r="K9" s="25" t="inlineStr">
        <is>
          <t>Yapılacak</t>
        </is>
      </c>
    </row>
    <row r="10" ht="41.8" customHeight="1">
      <c r="A10" s="23" t="inlineStr">
        <is>
          <t>Hafta 1</t>
        </is>
      </c>
      <c r="B10" s="23" t="inlineStr">
        <is>
          <t>Gün 2</t>
        </is>
      </c>
      <c r="C10" s="23" t="inlineStr">
        <is>
          <t>W1-T07</t>
        </is>
      </c>
      <c r="D10" s="24" t="inlineStr">
        <is>
          <t>Backend</t>
        </is>
      </c>
      <c r="E10" s="24" t="inlineStr">
        <is>
          <t>Pydantic Şemaları (Request / Response DTO)</t>
        </is>
      </c>
      <c r="F10" s="24" t="inlineStr">
        <is>
          <t>schemas/ altında Create/Update/Read ayrımıyla DTO'lar. from_attributes=True, alan doğrulamaları (quantity&gt;0, birim enum, e-posta), ortak ErrorResponse ve generic Page[T] sayfalama şeması.</t>
        </is>
      </c>
      <c r="G10" s="24" t="inlineStr">
        <is>
          <t>Swagger'da tüm şemalar doğru; hatalı payload {code:'validation_error'} ile 422 dönüyor.</t>
        </is>
      </c>
      <c r="H10" s="23" t="n">
        <v>2</v>
      </c>
      <c r="I10" s="23" t="inlineStr">
        <is>
          <t>Yüksek</t>
        </is>
      </c>
      <c r="J10" s="23" t="inlineStr">
        <is>
          <t>W1-T05</t>
        </is>
      </c>
      <c r="K10" s="23" t="inlineStr">
        <is>
          <t>Yapılacak</t>
        </is>
      </c>
    </row>
    <row r="11" ht="41.8" customHeight="1">
      <c r="A11" s="25" t="inlineStr">
        <is>
          <t>Hafta 1</t>
        </is>
      </c>
      <c r="B11" s="25" t="inlineStr">
        <is>
          <t>Gün 2-3</t>
        </is>
      </c>
      <c r="C11" s="25" t="inlineStr">
        <is>
          <t>W1-T08</t>
        </is>
      </c>
      <c r="D11" s="26" t="inlineStr">
        <is>
          <t>Auth</t>
        </is>
      </c>
      <c r="E11" s="26" t="inlineStr">
        <is>
          <t>JWT Tabanlı Kimlik Doğrulama</t>
        </is>
      </c>
      <c r="F11" s="26" t="inlineStr">
        <is>
          <t>passlib+bcrypt ile şifre hash, python-jose ile access token (30 dk) + refresh token. /auth/register, /auth/login, /auth/me. OAuth2PasswordBearer + get_current_user dependency ile korumalı rotalar.</t>
        </is>
      </c>
      <c r="G11" s="26" t="inlineStr">
        <is>
          <t>Kayıt -&gt; giriş -&gt; korumalı endpoint akışı çalışıyor; token'sız istek 401 dönüyor.</t>
        </is>
      </c>
      <c r="H11" s="25" t="n">
        <v>2.5</v>
      </c>
      <c r="I11" s="25" t="inlineStr">
        <is>
          <t>Kritik</t>
        </is>
      </c>
      <c r="J11" s="25" t="inlineStr">
        <is>
          <t>W1-T07</t>
        </is>
      </c>
      <c r="K11" s="25" t="inlineStr">
        <is>
          <t>Yapılacak</t>
        </is>
      </c>
    </row>
    <row r="12" ht="41.8" customHeight="1">
      <c r="A12" s="23" t="inlineStr">
        <is>
          <t>Hafta 1</t>
        </is>
      </c>
      <c r="B12" s="23" t="inlineStr">
        <is>
          <t>Gün 3</t>
        </is>
      </c>
      <c r="C12" s="23" t="inlineStr">
        <is>
          <t>W1-T09</t>
        </is>
      </c>
      <c r="D12" s="24" t="inlineStr">
        <is>
          <t>Veritabanı</t>
        </is>
      </c>
      <c r="E12" s="24" t="inlineStr">
        <is>
          <t>MongoDB Atlas (Ücretsiz M0) Kurulumu ve Bağlantı</t>
        </is>
      </c>
      <c r="F12" s="24" t="inlineStr">
        <is>
          <t>Atlas M0 cluster, IP whitelist, DB kullanıcısı. Backend'de motor (async) ile bağlantı havuzu; connection string .env'den. FastAPI lifespan içinde açılıp kapatılır.</t>
        </is>
      </c>
      <c r="G12" s="24" t="inlineStr">
        <is>
          <t>Uygulama açılışında Mongo ping başarılı; bağlantı bilgisi koda gömülü değil.</t>
        </is>
      </c>
      <c r="H12" s="23" t="n">
        <v>1.5</v>
      </c>
      <c r="I12" s="23" t="inlineStr">
        <is>
          <t>Kritik</t>
        </is>
      </c>
      <c r="J12" s="23" t="inlineStr">
        <is>
          <t>W1-T03</t>
        </is>
      </c>
      <c r="K12" s="23" t="inlineStr">
        <is>
          <t>Yapılacak</t>
        </is>
      </c>
    </row>
    <row r="13" ht="79.59999999999999" customHeight="1">
      <c r="A13" s="25" t="inlineStr">
        <is>
          <t>Hafta 1</t>
        </is>
      </c>
      <c r="B13" s="25" t="inlineStr">
        <is>
          <t>Gün 3</t>
        </is>
      </c>
      <c r="C13" s="25" t="inlineStr">
        <is>
          <t>W1-T10</t>
        </is>
      </c>
      <c r="D13" s="26" t="inlineStr">
        <is>
          <t>Veritabanı</t>
        </is>
      </c>
      <c r="E13" s="26" t="inlineStr">
        <is>
          <t>NoSQL Tarif Koleksiyon Şeması (MongoDB)</t>
        </is>
      </c>
      <c r="F13" s="26" t="inlineStr">
        <is>
          <t>recipes koleksiyonu: _id, title, slug, image_url, ingredients[{name, canonical_name, quantity, unit, optional}], steps[], calories_per_serving, macros{protein,carb,fat,fiber}, servings, prep_time, cook_time, difficulty, diet_tags[], allergens[], cuisine. $jsonSchema validator + canonical_name, diet_tags, calories_per_serving üzerine index.</t>
        </is>
      </c>
      <c r="G13" s="26" t="inlineStr">
        <is>
          <t>Şema validator aktif; eksik alanlı doküman reddediliyor; index'ler oluşturulmuş.</t>
        </is>
      </c>
      <c r="H13" s="25" t="n">
        <v>2</v>
      </c>
      <c r="I13" s="25" t="inlineStr">
        <is>
          <t>Kritik</t>
        </is>
      </c>
      <c r="J13" s="25" t="inlineStr">
        <is>
          <t>W1-T09</t>
        </is>
      </c>
      <c r="K13" s="25" t="inlineStr">
        <is>
          <t>Yapılacak</t>
        </is>
      </c>
    </row>
    <row r="14" ht="67" customHeight="1">
      <c r="A14" s="23" t="inlineStr">
        <is>
          <t>Hafta 1</t>
        </is>
      </c>
      <c r="B14" s="23" t="inlineStr">
        <is>
          <t>Gün 3</t>
        </is>
      </c>
      <c r="C14" s="23" t="inlineStr">
        <is>
          <t>W1-T11</t>
        </is>
      </c>
      <c r="D14" s="24" t="inlineStr">
        <is>
          <t>Veri</t>
        </is>
      </c>
      <c r="E14" s="24" t="inlineStr">
        <is>
          <t>Tarif Seed Verisinin Hazırlanması (100+ Tarif)</t>
        </is>
      </c>
      <c r="F14" s="24" t="inlineStr">
        <is>
          <t>Kaggle Recipe Ingredients Dataset / RecipeNLG ve telifsiz kaynaklardan veri; Pandas ile temizlik (küçük harf, trim, birim ayrıştırma, mükerrer temizliği). Türk mutfağından en az 40 tarif manuel eklenir (telif riski nedeniyle adımlar yeniden yazılır). /data/recipes_seed.json -&gt; mongoimport.</t>
        </is>
      </c>
      <c r="G14" s="24" t="inlineStr">
        <is>
          <t>MongoDB'de en az 100 geçerli tarif; hepsinde kalori, porsiyon ve canonical_name'li malzeme dizisi dolu.</t>
        </is>
      </c>
      <c r="H14" s="23" t="n">
        <v>2.5</v>
      </c>
      <c r="I14" s="23" t="inlineStr">
        <is>
          <t>Kritik</t>
        </is>
      </c>
      <c r="J14" s="23" t="inlineStr">
        <is>
          <t>W1-T10</t>
        </is>
      </c>
      <c r="K14" s="23" t="inlineStr">
        <is>
          <t>Yapılacak</t>
        </is>
      </c>
    </row>
    <row r="15" ht="92.2" customHeight="1">
      <c r="A15" s="25" t="inlineStr">
        <is>
          <t>Hafta 1</t>
        </is>
      </c>
      <c r="B15" s="25" t="inlineStr">
        <is>
          <t>Gün 3</t>
        </is>
      </c>
      <c r="C15" s="25" t="inlineStr">
        <is>
          <t>W1-T12</t>
        </is>
      </c>
      <c r="D15" s="26" t="inlineStr">
        <is>
          <t>Veri</t>
        </is>
      </c>
      <c r="E15" s="26" t="inlineStr">
        <is>
          <t>Malzeme Sözlüğü ve Birim Tablosunun Veritabanına Seed'lenmesi</t>
        </is>
      </c>
      <c r="F15" s="26" t="inlineStr">
        <is>
          <t>/data/ingredients_seed.json hazırlanıp ingredients + ingredient_aliases + categories tablolarına yüklenir (JSON dosyası artık sadece seed kaynağı, çalışma zamanı kaynağı DB'dir). Her malzeme için: canonical_name, display_name, kategori, temel birim, grams_per_piece (1 soğan ~150 g), ml_to_gram_factor (yoğunluk), cooked_yield_factor (çiğ pirinç -&gt; pilav), 100 g besin değerleri, avg_shelf_life_days, is_staple. Birim dönüşüm fonksiyonu yazılır.</t>
        </is>
      </c>
      <c r="G15" s="26" t="inlineStr">
        <is>
          <t>En az 150 malzeme + 300 alias DB'de; birim dönüşüm fonksiyonu 20+ pytest vakasından geçiyor.</t>
        </is>
      </c>
      <c r="H15" s="25" t="n">
        <v>2.5</v>
      </c>
      <c r="I15" s="25" t="inlineStr">
        <is>
          <t>Kritik</t>
        </is>
      </c>
      <c r="J15" s="25" t="inlineStr">
        <is>
          <t>W1-T11</t>
        </is>
      </c>
      <c r="K15" s="25" t="inlineStr">
        <is>
          <t>Yapılacak</t>
        </is>
      </c>
    </row>
    <row r="16" ht="92.2" customHeight="1">
      <c r="A16" s="23" t="inlineStr">
        <is>
          <t>Hafta 1</t>
        </is>
      </c>
      <c r="B16" s="23" t="inlineStr">
        <is>
          <t>Gün 4</t>
        </is>
      </c>
      <c r="C16" s="23" t="inlineStr">
        <is>
          <t>W1-T13</t>
        </is>
      </c>
      <c r="D16" s="24" t="inlineStr">
        <is>
          <t>Mobil</t>
        </is>
      </c>
      <c r="E16" s="24" t="inlineStr">
        <is>
          <t>Flutter (Dart) Projesinin Kurulması ve Mimarisi</t>
        </is>
      </c>
      <c r="F16" s="24" t="inlineStr">
        <is>
          <t>flutter create ile proje açılır. lib/ altında core (tema, dio, hata), models, services, providers, screens, widgets, router. Bağımlılıklar (pubspec.yaml): flutter_riverpod, dio, go_router, flutter_secure_storage, mobile_scanner, cached_network_image, percent_indicator, shimmer, freezed, json_serializable. KRİTİK: BarcodeScanner soyut arayüzü + FakeBarcodeScanner uygulaması baştan yazılır (fiziksel Android cihaz olmadan geliştirme yapabilmek için).</t>
        </is>
      </c>
      <c r="G16" s="24" t="inlineStr">
        <is>
          <t>flutter run emülatörde çalışıyor; --dart-define=USE_FAKE_SCANNER=true ile sahte tarayıcı devreye giriyor.</t>
        </is>
      </c>
      <c r="H16" s="23" t="n">
        <v>2</v>
      </c>
      <c r="I16" s="23" t="inlineStr">
        <is>
          <t>Kritik</t>
        </is>
      </c>
      <c r="J16" s="23" t="inlineStr">
        <is>
          <t>W1-T01</t>
        </is>
      </c>
      <c r="K16" s="23" t="inlineStr">
        <is>
          <t>Yapılacak</t>
        </is>
      </c>
    </row>
    <row r="17" ht="54.4" customHeight="1">
      <c r="A17" s="25" t="inlineStr">
        <is>
          <t>Hafta 1</t>
        </is>
      </c>
      <c r="B17" s="25" t="inlineStr">
        <is>
          <t>Gün 4</t>
        </is>
      </c>
      <c r="C17" s="25" t="inlineStr">
        <is>
          <t>W1-T14</t>
        </is>
      </c>
      <c r="D17" s="26" t="inlineStr">
        <is>
          <t>Mobil</t>
        </is>
      </c>
      <c r="E17" s="26" t="inlineStr">
        <is>
          <t>Alt Bar Navigasyonu ve Rotalama (go_router)</t>
        </is>
      </c>
      <c r="F17" s="26" t="inlineStr">
        <is>
          <t>NavigationBar (Material 3) ile 4 sekme: Kiler, Yemek Tarifleri, Kalori Sayacı, Alışveriş Listesi. go_router ile StatefulShellRoute + alt rotalar (Tarif Detay, Chatbot, Barkod Tarayıcı, Profil, Onboarding). Deep link desteği baştan kurulur.</t>
        </is>
      </c>
      <c r="G17" s="26" t="inlineStr">
        <is>
          <t>4 sekme arasında geçiş sorunsuz; alt ekranlara gidip geri dönerken sekme durumu korunuyor.</t>
        </is>
      </c>
      <c r="H17" s="25" t="n">
        <v>1.5</v>
      </c>
      <c r="I17" s="25" t="inlineStr">
        <is>
          <t>Kritik</t>
        </is>
      </c>
      <c r="J17" s="25" t="inlineStr">
        <is>
          <t>W1-T13</t>
        </is>
      </c>
      <c r="K17" s="25" t="inlineStr">
        <is>
          <t>Yapılacak</t>
        </is>
      </c>
    </row>
    <row r="18" ht="54.4" customHeight="1">
      <c r="A18" s="23" t="inlineStr">
        <is>
          <t>Hafta 1</t>
        </is>
      </c>
      <c r="B18" s="23" t="inlineStr">
        <is>
          <t>Gün 4</t>
        </is>
      </c>
      <c r="C18" s="23" t="inlineStr">
        <is>
          <t>W1-T15</t>
        </is>
      </c>
      <c r="D18" s="24" t="inlineStr">
        <is>
          <t>Mobil</t>
        </is>
      </c>
      <c r="E18" s="24" t="inlineStr">
        <is>
          <t>Tasarım Sistemi ve Ortak Widget'lar</t>
        </is>
      </c>
      <c r="F18" s="24" t="inlineStr">
        <is>
          <t>ThemeData + Material 3 ColorScheme.fromSeed. Semantik renkler (yeşil/kırmızı/gri) tema uzantısı olarak tanımlanır. Ortak widget'lar: AppButton, AppCard, AppTextField, StatusBadge, EmptyState, LoadingSkeleton. Karanlık mod şeması.</t>
        </is>
      </c>
      <c r="G18" s="24" t="inlineStr">
        <is>
          <t>Demo ekranında tüm widget'lar render ediliyor; renkler tek yerden yönetiliyor.</t>
        </is>
      </c>
      <c r="H18" s="23" t="n">
        <v>1</v>
      </c>
      <c r="I18" s="23" t="inlineStr">
        <is>
          <t>Orta</t>
        </is>
      </c>
      <c r="J18" s="23" t="inlineStr">
        <is>
          <t>W1-T14</t>
        </is>
      </c>
      <c r="K18" s="23" t="inlineStr">
        <is>
          <t>Yapılacak</t>
        </is>
      </c>
    </row>
    <row r="19" ht="54.4" customHeight="1">
      <c r="A19" s="25" t="inlineStr">
        <is>
          <t>Hafta 1</t>
        </is>
      </c>
      <c r="B19" s="25" t="inlineStr">
        <is>
          <t>Gün 4-5</t>
        </is>
      </c>
      <c r="C19" s="25" t="inlineStr">
        <is>
          <t>W1-T16</t>
        </is>
      </c>
      <c r="D19" s="26" t="inlineStr">
        <is>
          <t>Mobil</t>
        </is>
      </c>
      <c r="E19" s="26" t="inlineStr">
        <is>
          <t>API İstemci Katmanı ve Sunucu Durumu Yönetimi</t>
        </is>
      </c>
      <c r="F19" s="26" t="inlineStr">
        <is>
          <t>dio instance (baseURL --dart-define'dan), Interceptor ile Bearer token ekleme ve 401'de refresh/logout. Riverpod AsyncNotifier ile veri çekme, hata ve yükleniyor durumları; dio_cache_interceptor ile önbellek.</t>
        </is>
      </c>
      <c r="G19" s="26" t="inlineStr">
        <is>
          <t>Mobilden /health ve /auth/me çağrıları başarılı; token otomatik ekleniyor.</t>
        </is>
      </c>
      <c r="H19" s="25" t="n">
        <v>2</v>
      </c>
      <c r="I19" s="25" t="inlineStr">
        <is>
          <t>Kritik</t>
        </is>
      </c>
      <c r="J19" s="25" t="inlineStr">
        <is>
          <t>W1-T14</t>
        </is>
      </c>
      <c r="K19" s="25" t="inlineStr">
        <is>
          <t>Yapılacak</t>
        </is>
      </c>
    </row>
    <row r="20" ht="41.8" customHeight="1">
      <c r="A20" s="23" t="inlineStr">
        <is>
          <t>Hafta 1</t>
        </is>
      </c>
      <c r="B20" s="23" t="inlineStr">
        <is>
          <t>Gün 5</t>
        </is>
      </c>
      <c r="C20" s="23" t="inlineStr">
        <is>
          <t>W1-T17</t>
        </is>
      </c>
      <c r="D20" s="24" t="inlineStr">
        <is>
          <t>Mobil</t>
        </is>
      </c>
      <c r="E20" s="24" t="inlineStr">
        <is>
          <t>İstemci Durumu ve Güvenli Token Saklama</t>
        </is>
      </c>
      <c r="F20" s="24" t="inlineStr">
        <is>
          <t>Riverpod authProvider + profileProvider. Token flutter_secure_storage içinde şifreli saklanır (Android Keystore). Açılışta oturum restore edilir (splash + auth gate).</t>
        </is>
      </c>
      <c r="G20" s="24" t="inlineStr">
        <is>
          <t>Uygulama kapatılıp açıldığında oturum korunuyor; çıkışta token siliniyor.</t>
        </is>
      </c>
      <c r="H20" s="23" t="n">
        <v>2</v>
      </c>
      <c r="I20" s="23" t="inlineStr">
        <is>
          <t>Yüksek</t>
        </is>
      </c>
      <c r="J20" s="23" t="inlineStr">
        <is>
          <t>W1-T16</t>
        </is>
      </c>
      <c r="K20" s="23" t="inlineStr">
        <is>
          <t>Yapılacak</t>
        </is>
      </c>
    </row>
    <row r="21" ht="41.8" customHeight="1">
      <c r="A21" s="25" t="inlineStr">
        <is>
          <t>Hafta 1</t>
        </is>
      </c>
      <c r="B21" s="25" t="inlineStr">
        <is>
          <t>Gün 5</t>
        </is>
      </c>
      <c r="C21" s="25" t="inlineStr">
        <is>
          <t>W1-T18</t>
        </is>
      </c>
      <c r="D21" s="26" t="inlineStr">
        <is>
          <t>Mobil</t>
        </is>
      </c>
      <c r="E21" s="26" t="inlineStr">
        <is>
          <t>Kayıt ve Giriş Ekranları</t>
        </is>
      </c>
      <c r="F21" s="26" t="inlineStr">
        <is>
          <t>Form + TextFormField + yerleşik validator'lar. Hata mesajları, yükleniyor durumu, şifre göster/gizle, klavye davranışı.</t>
        </is>
      </c>
      <c r="G21" s="26" t="inlineStr">
        <is>
          <t>Geçersiz e-posta/şifre için anlaşılır hata; başarılı girişte ana sekmeye yönlendirme.</t>
        </is>
      </c>
      <c r="H21" s="25" t="n">
        <v>2</v>
      </c>
      <c r="I21" s="25" t="inlineStr">
        <is>
          <t>Yüksek</t>
        </is>
      </c>
      <c r="J21" s="25" t="inlineStr">
        <is>
          <t>W1-T17</t>
        </is>
      </c>
      <c r="K21" s="25" t="inlineStr">
        <is>
          <t>Yapılacak</t>
        </is>
      </c>
    </row>
    <row r="22" ht="67" customHeight="1">
      <c r="A22" s="23" t="inlineStr">
        <is>
          <t>Hafta 1</t>
        </is>
      </c>
      <c r="B22" s="23" t="inlineStr">
        <is>
          <t>Gün 5</t>
        </is>
      </c>
      <c r="C22" s="23" t="inlineStr">
        <is>
          <t>W1-T19</t>
        </is>
      </c>
      <c r="D22" s="24" t="inlineStr">
        <is>
          <t>Mobil</t>
        </is>
      </c>
      <c r="E22" s="24" t="inlineStr">
        <is>
          <t>Onboarding (Kullanıcıyı Tanıma) Anketi</t>
        </is>
      </c>
      <c r="F22" s="24" t="inlineStr">
        <is>
          <t>PageView ile 4 adımlı sihirbaz: (1) doğum yılı/cinsiyet/boy/kilo/aktivite, (2) hedef (kilo verme/koruma/alma) + hane büyüklüğü, (3) diyet tercihi (vegan/vejetaryen/glutensiz) + alerjenler, (4) 'Sevdiğin 5 yemeği seç' grid'i. Cevaplar user_profiles, user_diet_tags, user_allergens ve recipe_feedback(begendim) tablolarına yazılır.</t>
        </is>
      </c>
      <c r="G22" s="24" t="inlineStr">
        <is>
          <t>Anket tamamlanınca 4 tabloya da kayıt gidiyor; onboarding_completed=true olunca bir daha gösterilmiyor.</t>
        </is>
      </c>
      <c r="H22" s="23" t="n">
        <v>2.5</v>
      </c>
      <c r="I22" s="23" t="inlineStr">
        <is>
          <t>Kritik</t>
        </is>
      </c>
      <c r="J22" s="23" t="inlineStr">
        <is>
          <t>W1-T18</t>
        </is>
      </c>
      <c r="K22" s="23" t="inlineStr">
        <is>
          <t>Yapılacak</t>
        </is>
      </c>
    </row>
    <row r="23" ht="54.4" customHeight="1">
      <c r="A23" s="25" t="inlineStr">
        <is>
          <t>Hafta 1</t>
        </is>
      </c>
      <c r="B23" s="25" t="inlineStr">
        <is>
          <t>Gün 5</t>
        </is>
      </c>
      <c r="C23" s="25" t="inlineStr">
        <is>
          <t>W1-T20</t>
        </is>
      </c>
      <c r="D23" s="26" t="inlineStr">
        <is>
          <t>Kalori</t>
        </is>
      </c>
      <c r="E23" s="26" t="inlineStr">
        <is>
          <t>Kalori Hedefi Hesaplama Servisi (BMR / TDEE)</t>
        </is>
      </c>
      <c r="F23" s="26" t="inlineStr">
        <is>
          <t>Mifflin-St Jeor ile BMR, aktivite katsayısı ile TDEE, hedefe göre -500/+500 kcal düzeltme. Makro dağılımı (%30 protein / %40 karbonhidrat / %30 yağ). Sonuçlar user_profiles'a yazılır. pytest ile test edilir.</t>
        </is>
      </c>
      <c r="G23" s="26" t="inlineStr">
        <is>
          <t>Örnek profil için hesaplanan hedef referans hesaplayıcı ile +/-%2 uyumlu.</t>
        </is>
      </c>
      <c r="H23" s="25" t="n">
        <v>2</v>
      </c>
      <c r="I23" s="25" t="inlineStr">
        <is>
          <t>Yüksek</t>
        </is>
      </c>
      <c r="J23" s="25" t="inlineStr">
        <is>
          <t>W1-T19</t>
        </is>
      </c>
      <c r="K23" s="25" t="inlineStr">
        <is>
          <t>Yapılacak</t>
        </is>
      </c>
    </row>
    <row r="24" ht="41.8" customHeight="1">
      <c r="A24" s="23" t="inlineStr">
        <is>
          <t>Hafta 1</t>
        </is>
      </c>
      <c r="B24" s="23" t="inlineStr">
        <is>
          <t>Gün 5</t>
        </is>
      </c>
      <c r="C24" s="23" t="inlineStr">
        <is>
          <t>W1-T21</t>
        </is>
      </c>
      <c r="D24" s="24" t="inlineStr">
        <is>
          <t>Kurulum &amp; DevOps</t>
        </is>
      </c>
      <c r="E24" s="24" t="inlineStr">
        <is>
          <t>Hafta 1 Entegrasyon Kontrolü ve Postman Koleksiyonu</t>
        </is>
      </c>
      <c r="F24" s="24" t="inlineStr">
        <is>
          <t>Tüm endpoint'ler için Postman/Thunder Client koleksiyonu ve ortam değişkenleri. Hafta sonu mini demo, staj defteri notları, backlog güncellemesi.</t>
        </is>
      </c>
      <c r="G24" s="24" t="inlineStr">
        <is>
          <t>Koleksiyon repoda; Hafta-1 görevlerinin tamamı 'Tamamlandı'.</t>
        </is>
      </c>
      <c r="H24" s="23" t="n">
        <v>1</v>
      </c>
      <c r="I24" s="23" t="inlineStr">
        <is>
          <t>Orta</t>
        </is>
      </c>
      <c r="J24" s="23" t="inlineStr">
        <is>
          <t>W1-T20</t>
        </is>
      </c>
      <c r="K24" s="23" t="inlineStr">
        <is>
          <t>Yapılacak</t>
        </is>
      </c>
    </row>
    <row r="25" ht="54.4" customHeight="1">
      <c r="A25" s="25" t="inlineStr">
        <is>
          <t>Hafta 2</t>
        </is>
      </c>
      <c r="B25" s="25" t="inlineStr">
        <is>
          <t>Gün 6</t>
        </is>
      </c>
      <c r="C25" s="25" t="inlineStr">
        <is>
          <t>W2-T01</t>
        </is>
      </c>
      <c r="D25" s="26" t="inlineStr">
        <is>
          <t>Backend / Kiler</t>
        </is>
      </c>
      <c r="E25" s="26" t="inlineStr">
        <is>
          <t>Kiler CRUD API Endpoint'leri</t>
        </is>
      </c>
      <c r="F25" s="26" t="inlineStr">
        <is>
          <t>POST /api/v1/pantry, GET /api/v1/pantry (sayfalama + kategori filtresi + is_low bayrağı), PATCH /api/v1/pantry/{id}, DELETE /api/v1/pantry/{id}. Tüm işlemler current_user'a bağlı; başkasının kaydına erişim 403.</t>
        </is>
      </c>
      <c r="G25" s="26" t="inlineStr">
        <is>
          <t>4 metot da çalışıyor; başka kullanıcının item'ına erişim engelleniyor.</t>
        </is>
      </c>
      <c r="H25" s="25" t="n">
        <v>3</v>
      </c>
      <c r="I25" s="25" t="inlineStr">
        <is>
          <t>Kritik</t>
        </is>
      </c>
      <c r="J25" s="25" t="inlineStr">
        <is>
          <t>W1-T08</t>
        </is>
      </c>
      <c r="K25" s="25" t="inlineStr">
        <is>
          <t>Yapılacak</t>
        </is>
      </c>
    </row>
    <row r="26" ht="67" customHeight="1">
      <c r="A26" s="23" t="inlineStr">
        <is>
          <t>Hafta 2</t>
        </is>
      </c>
      <c r="B26" s="23" t="inlineStr">
        <is>
          <t>Gün 6</t>
        </is>
      </c>
      <c r="C26" s="23" t="inlineStr">
        <is>
          <t>W2-T02</t>
        </is>
      </c>
      <c r="D26" s="24" t="inlineStr">
        <is>
          <t>Backend / Kiler</t>
        </is>
      </c>
      <c r="E26" s="24" t="inlineStr">
        <is>
          <t>Temel Birim Normalizasyonu ve Kritik Eşik Mantığı</t>
        </is>
      </c>
      <c r="F26" s="24" t="inlineStr">
        <is>
          <t>Girilen miktar unit_type'a göre temel birime çevrilip quantity_base olarak saklanır (5 kg -&gt; 5000 g), display_unit ayrıca tutulur. min_threshold_base alanı; quantity_base &lt;= min_threshold_base ise response'a is_low=true hesaplanan alanı eklenir. Birim dönüşümü W1-T12'deki tek fonksiyondan geçer.</t>
        </is>
      </c>
      <c r="G26" s="24" t="inlineStr">
        <is>
          <t>5 kg mercimek DB'de 5000 g olarak duruyor, ekranda 5 kg görünüyor; eşik altındaki ürün is_low=true dönüyor.</t>
        </is>
      </c>
      <c r="H26" s="23" t="n">
        <v>2.5</v>
      </c>
      <c r="I26" s="23" t="inlineStr">
        <is>
          <t>Kritik</t>
        </is>
      </c>
      <c r="J26" s="23" t="inlineStr">
        <is>
          <t>W2-T01</t>
        </is>
      </c>
      <c r="K26" s="23" t="inlineStr">
        <is>
          <t>Yapılacak</t>
        </is>
      </c>
    </row>
    <row r="27" ht="104.8" customHeight="1">
      <c r="A27" s="27" t="inlineStr">
        <is>
          <t>Hafta 2</t>
        </is>
      </c>
      <c r="B27" s="27" t="inlineStr">
        <is>
          <t>Gün 6</t>
        </is>
      </c>
      <c r="C27" s="27" t="inlineStr">
        <is>
          <t>W2-T02A</t>
        </is>
      </c>
      <c r="D27" s="28" t="inlineStr">
        <is>
          <t>Backend / Kiler</t>
        </is>
      </c>
      <c r="E27" s="28" t="inlineStr">
        <is>
          <t>Kiler Hareket Günlüğü (pantry_events)</t>
        </is>
      </c>
      <c r="F27" s="28" t="inlineStr">
        <is>
          <t>Kilerde miktar değiştiren HER servis metoduna (ekle, güncelle, barkodla ekle, tarif tüketimi, bozuldu/atıldı, silme) tek satır olay yazımı eklenir. quantity_base_delta pozitif (giriş) / negatif (çıkış) olarak kaydedilir. Append-only: bu tabloda hiçbir zaman UPDATE/DELETE yapılmaz. Servis katmanında ortak bir log_pantry_event() yardımcısı yazılır. Bu tablo israf raporu, tüketim hızı tahmini, akıllı eşik ve öngörülü alışveriş listesinin veri kaynağıdır ve GERİYE DÖNÜK ÜRETİLEMEZ.</t>
        </is>
      </c>
      <c r="G27" s="28" t="inlineStr">
        <is>
          <t>5 kg eklenip 2 kg tüketilince pantry_events'te 2 satır oluşuyor; delta toplamı pantry_items.quantity_base ile birebir tutuyor.</t>
        </is>
      </c>
      <c r="H27" s="27" t="n">
        <v>1.5</v>
      </c>
      <c r="I27" s="27" t="inlineStr">
        <is>
          <t>Kritik</t>
        </is>
      </c>
      <c r="J27" s="27" t="inlineStr">
        <is>
          <t>W2-T01</t>
        </is>
      </c>
      <c r="K27" s="27" t="inlineStr">
        <is>
          <t>Yapılacak</t>
        </is>
      </c>
    </row>
    <row r="28" ht="67" customHeight="1">
      <c r="A28" s="23" t="inlineStr">
        <is>
          <t>Hafta 2</t>
        </is>
      </c>
      <c r="B28" s="23" t="inlineStr">
        <is>
          <t>Gün 6</t>
        </is>
      </c>
      <c r="C28" s="23" t="inlineStr">
        <is>
          <t>W2-T03</t>
        </is>
      </c>
      <c r="D28" s="24" t="inlineStr">
        <is>
          <t>Backend / Ürün</t>
        </is>
      </c>
      <c r="E28" s="24" t="inlineStr">
        <is>
          <t>Ürün Kataloğu ve Barkod Önbelleği</t>
        </is>
      </c>
      <c r="F28" s="24" t="inlineStr">
        <is>
          <t>products tablosu: barcode (UNIQUE, NULL olabilir), name, brand, ingredient_id, 100 g besin değerleri + fiber/sugar/sodium, serving_size_g, serving_description, source (openfoodfacts/user), fetched_at. Barkod ilk sorguda dış API'den çekilip yazılır, ikinci sorguda DB'den okunur.</t>
        </is>
      </c>
      <c r="G28" s="24" t="inlineStr">
        <is>
          <t>Aynı barkod ikinci kez okunduğunda dış API'ye istek gitmiyor (log ile doğrulanır).</t>
        </is>
      </c>
      <c r="H28" s="23" t="n">
        <v>2</v>
      </c>
      <c r="I28" s="23" t="inlineStr">
        <is>
          <t>Yüksek</t>
        </is>
      </c>
      <c r="J28" s="23" t="inlineStr">
        <is>
          <t>W2-T01</t>
        </is>
      </c>
      <c r="K28" s="23" t="inlineStr">
        <is>
          <t>Yapılacak</t>
        </is>
      </c>
    </row>
    <row r="29" ht="79.59999999999999" customHeight="1">
      <c r="A29" s="25" t="inlineStr">
        <is>
          <t>Hafta 2</t>
        </is>
      </c>
      <c r="B29" s="25" t="inlineStr">
        <is>
          <t>Gün 6-7</t>
        </is>
      </c>
      <c r="C29" s="25" t="inlineStr">
        <is>
          <t>W2-T04</t>
        </is>
      </c>
      <c r="D29" s="26" t="inlineStr">
        <is>
          <t>Entegrasyon</t>
        </is>
      </c>
      <c r="E29" s="26" t="inlineStr">
        <is>
          <t>Open Food Facts API Entegrasyon Servisi</t>
        </is>
      </c>
      <c r="F29" s="26" t="inlineStr">
        <is>
          <t>httpx.AsyncClient ile GET /api/v2/product/{barcode}.json. 5 sn timeout, 2 retry, ExternalServiceError ile hata yönetimi. JSON'dan product_name, brands, quantity, serving_size ve nutriments (energy-kcal_100g, proteins, carbohydrates, fat, fiber, sugars, sodium) ayrıştırılır. Ürün adı ingredients sözlüğüyle eşleştirilip ingredient_id atanır.</t>
        </is>
      </c>
      <c r="G29" s="26" t="inlineStr">
        <is>
          <t>Gerçek bir Türk market ürünü barkodu ile ürün adı + kalori + malzeme eşlemesi dönüyor.</t>
        </is>
      </c>
      <c r="H29" s="25" t="n">
        <v>2.5</v>
      </c>
      <c r="I29" s="25" t="inlineStr">
        <is>
          <t>Kritik</t>
        </is>
      </c>
      <c r="J29" s="25" t="inlineStr">
        <is>
          <t>W2-T03</t>
        </is>
      </c>
      <c r="K29" s="25" t="inlineStr">
        <is>
          <t>Yapılacak</t>
        </is>
      </c>
    </row>
    <row r="30" ht="54.4" customHeight="1">
      <c r="A30" s="23" t="inlineStr">
        <is>
          <t>Hafta 2</t>
        </is>
      </c>
      <c r="B30" s="23" t="inlineStr">
        <is>
          <t>Gün 7</t>
        </is>
      </c>
      <c r="C30" s="23" t="inlineStr">
        <is>
          <t>W2-T05</t>
        </is>
      </c>
      <c r="D30" s="24" t="inlineStr">
        <is>
          <t>Backend / Ürün</t>
        </is>
      </c>
      <c r="E30" s="24" t="inlineStr">
        <is>
          <t>Barkod Bulunamadı Senaryosu (Manuel Kayıt Fallback)</t>
        </is>
      </c>
      <c r="F30" s="24" t="inlineStr">
        <is>
          <t>Dış API 404 dönerse manuel giriş formu açılır; girilen bilgi products'a source='user' ile kaydedilir ve sonraki kullanıcılar için havuza katkı sağlar. Böylece Türk ürünlerindeki veri boşluğu zamanla kapanır.</t>
        </is>
      </c>
      <c r="G30" s="24" t="inlineStr">
        <is>
          <t>Bilinmeyen barkodda uygulama çökmüyor, manuel form açılıyor, kayıt kalıcı oluyor.</t>
        </is>
      </c>
      <c r="H30" s="23" t="n">
        <v>2</v>
      </c>
      <c r="I30" s="23" t="inlineStr">
        <is>
          <t>Yüksek</t>
        </is>
      </c>
      <c r="J30" s="23" t="inlineStr">
        <is>
          <t>W2-T04</t>
        </is>
      </c>
      <c r="K30" s="23" t="inlineStr">
        <is>
          <t>Yapılacak</t>
        </is>
      </c>
    </row>
    <row r="31" ht="41.8" customHeight="1">
      <c r="A31" s="25" t="inlineStr">
        <is>
          <t>Hafta 2</t>
        </is>
      </c>
      <c r="B31" s="25" t="inlineStr">
        <is>
          <t>Gün 7</t>
        </is>
      </c>
      <c r="C31" s="25" t="inlineStr">
        <is>
          <t>W2-T06</t>
        </is>
      </c>
      <c r="D31" s="26" t="inlineStr">
        <is>
          <t>Mobil / Kiler</t>
        </is>
      </c>
      <c r="E31" s="26" t="inlineStr">
        <is>
          <t>Kiler Listesi Ekranı</t>
        </is>
      </c>
      <c r="F31" s="26" t="inlineStr">
        <is>
          <t>ListView.builder ile performanslı liste; kategori sekmeleri (TabBar), debounce'lu (300 ms) arama, RefreshIndicator, EmptyState. Eşik altı ürünler ve SKT'si yaklaşanlar rozetle işaretlenir.</t>
        </is>
      </c>
      <c r="G31" s="26" t="inlineStr">
        <is>
          <t>200 kayıtlı listede kaydırma akıcı; arama ve kategori filtresi doğru sonuç veriyor.</t>
        </is>
      </c>
      <c r="H31" s="25" t="n">
        <v>3</v>
      </c>
      <c r="I31" s="25" t="inlineStr">
        <is>
          <t>Kritik</t>
        </is>
      </c>
      <c r="J31" s="25" t="inlineStr">
        <is>
          <t>W2-T01</t>
        </is>
      </c>
      <c r="K31" s="25" t="inlineStr">
        <is>
          <t>Yapılacak</t>
        </is>
      </c>
    </row>
    <row r="32" ht="54.4" customHeight="1">
      <c r="A32" s="23" t="inlineStr">
        <is>
          <t>Hafta 2</t>
        </is>
      </c>
      <c r="B32" s="23" t="inlineStr">
        <is>
          <t>Gün 7</t>
        </is>
      </c>
      <c r="C32" s="23" t="inlineStr">
        <is>
          <t>W2-T07</t>
        </is>
      </c>
      <c r="D32" s="24" t="inlineStr">
        <is>
          <t>Mobil / Kiler</t>
        </is>
      </c>
      <c r="E32" s="24" t="inlineStr">
        <is>
          <t>Ürün Ekleme / Düzenleme Formu</t>
        </is>
      </c>
      <c r="F32" s="24" t="inlineStr">
        <is>
          <t>showModalBottomSheet (Flutter'da yerleşik) ile form: ürün adı (Autocomplete, ingredients'tan öneri), miktar, birim seçici (DropdownButtonFormField), kategori, SKT (showDatePicker), kritik eşik. 'Mercimek aldım, 5 kg' senaryosu tek akışta tamamlanır.</t>
        </is>
      </c>
      <c r="G32" s="24" t="inlineStr">
        <is>
          <t>Manuel ekleme sonrası liste anında güncelleniyor (Riverpod invalidate).</t>
        </is>
      </c>
      <c r="H32" s="23" t="n">
        <v>2</v>
      </c>
      <c r="I32" s="23" t="inlineStr">
        <is>
          <t>Kritik</t>
        </is>
      </c>
      <c r="J32" s="23" t="inlineStr">
        <is>
          <t>W2-T06</t>
        </is>
      </c>
      <c r="K32" s="23" t="inlineStr">
        <is>
          <t>Yapılacak</t>
        </is>
      </c>
    </row>
    <row r="33" ht="41.8" customHeight="1">
      <c r="A33" s="25" t="inlineStr">
        <is>
          <t>Hafta 2</t>
        </is>
      </c>
      <c r="B33" s="25" t="inlineStr">
        <is>
          <t>Gün 7</t>
        </is>
      </c>
      <c r="C33" s="25" t="inlineStr">
        <is>
          <t>W2-T08</t>
        </is>
      </c>
      <c r="D33" s="26" t="inlineStr">
        <is>
          <t>Mobil / Kiler</t>
        </is>
      </c>
      <c r="E33" s="26" t="inlineStr">
        <is>
          <t>Kaydırarak Silme ve İyimser Güncelleme</t>
        </is>
      </c>
      <c r="F33" s="26" t="inlineStr">
        <is>
          <t>Dismissible widget'ı (Flutter'da yerleşik, ek paket gerekmez) ile sil/düzenle. İstek başarısız olursa listeye geri koyma + SnackBar bildirimi (ScaffoldMessenger).</t>
        </is>
      </c>
      <c r="G33" s="26" t="inlineStr">
        <is>
          <t>İnternet kapalıyken silme denemesi geri alınıyor ve kullanıcı bilgilendiriliyor.</t>
        </is>
      </c>
      <c r="H33" s="25" t="n">
        <v>1.5</v>
      </c>
      <c r="I33" s="25" t="inlineStr">
        <is>
          <t>Orta</t>
        </is>
      </c>
      <c r="J33" s="25" t="inlineStr">
        <is>
          <t>W2-T07</t>
        </is>
      </c>
      <c r="K33" s="25" t="inlineStr">
        <is>
          <t>Yapılacak</t>
        </is>
      </c>
    </row>
    <row r="34" ht="54.4" customHeight="1">
      <c r="A34" s="23" t="inlineStr">
        <is>
          <t>Hafta 2</t>
        </is>
      </c>
      <c r="B34" s="23" t="inlineStr">
        <is>
          <t>Gün 8</t>
        </is>
      </c>
      <c r="C34" s="23" t="inlineStr">
        <is>
          <t>W2-T09</t>
        </is>
      </c>
      <c r="D34" s="24" t="inlineStr">
        <is>
          <t>Mobil / Barkod</t>
        </is>
      </c>
      <c r="E34" s="24" t="inlineStr">
        <is>
          <t>Kamera İzinleri ve Native Yapılandırma</t>
        </is>
      </c>
      <c r="F34" s="24" t="inlineStr">
        <is>
          <t>AndroidManifest.xml'e CAMERA izni, Info.plist'e NSCameraUsageDescription eklenir. permission_handler ile izin akışı; reddedilirse 'Ayarlara git' yönlendirmesi. Flutter'da ayrı bir dev client derlemesi gerekmediği için React Native'e göre belirgin şekilde kısa.</t>
        </is>
      </c>
      <c r="G34" s="24" t="inlineStr">
        <is>
          <t>İlk açılışta izin diyalogu çıkıyor; reddedilince kullanıcı doğru yönlendiriliyor.</t>
        </is>
      </c>
      <c r="H34" s="23" t="n">
        <v>1</v>
      </c>
      <c r="I34" s="23" t="inlineStr">
        <is>
          <t>Kritik</t>
        </is>
      </c>
      <c r="J34" s="23" t="inlineStr">
        <is>
          <t>W1-T13</t>
        </is>
      </c>
      <c r="K34" s="23" t="inlineStr">
        <is>
          <t>Yapılacak</t>
        </is>
      </c>
    </row>
    <row r="35" ht="92.2" customHeight="1">
      <c r="A35" s="25" t="inlineStr">
        <is>
          <t>Hafta 2</t>
        </is>
      </c>
      <c r="B35" s="25" t="inlineStr">
        <is>
          <t>Gün 8</t>
        </is>
      </c>
      <c r="C35" s="25" t="inlineStr">
        <is>
          <t>W2-T10</t>
        </is>
      </c>
      <c r="D35" s="26" t="inlineStr">
        <is>
          <t>Mobil / Barkod</t>
        </is>
      </c>
      <c r="E35" s="26" t="inlineStr">
        <is>
          <t>mobile_scanner (Google ML Kit) ile Barkod Okuma</t>
        </is>
      </c>
      <c r="F35" s="26" t="inlineStr">
        <is>
          <t>mobile_scanner paketi ile MlKitBarcodeScanner uygulaması yazılır (W1-T13'teki arayüzün gerçek karşılığı). EAN-13, EAN-8, UPC-A formatları. Tarama çerçevesi overlay'i, titreşim (HapticFeedback), aynı barkodun tekrar okunmasını engelleyen debounce. Ayrıca analyzeImage ile galeriden barkod okuma yolu eklenir (fiziksel cihaz olmadan ML Kit'i doğrulamak için). Emülatör kamerası Webcam0'a bağlanarak test edilir.</t>
        </is>
      </c>
      <c r="G35" s="26" t="inlineStr">
        <is>
          <t>Emülatör + webcam ile gerçek bir barkod 1 sn altında okunuyor; işlem tamamen cihazda (offline).</t>
        </is>
      </c>
      <c r="H35" s="25" t="n">
        <v>3</v>
      </c>
      <c r="I35" s="25" t="inlineStr">
        <is>
          <t>Kritik</t>
        </is>
      </c>
      <c r="J35" s="25" t="inlineStr">
        <is>
          <t>W2-T09</t>
        </is>
      </c>
      <c r="K35" s="25" t="inlineStr">
        <is>
          <t>Yapılacak</t>
        </is>
      </c>
    </row>
    <row r="36" ht="54.4" customHeight="1">
      <c r="A36" s="23" t="inlineStr">
        <is>
          <t>Hafta 2</t>
        </is>
      </c>
      <c r="B36" s="23" t="inlineStr">
        <is>
          <t>Gün 8-9</t>
        </is>
      </c>
      <c r="C36" s="23" t="inlineStr">
        <is>
          <t>W2-T11</t>
        </is>
      </c>
      <c r="D36" s="24" t="inlineStr">
        <is>
          <t>Entegrasyon</t>
        </is>
      </c>
      <c r="E36" s="24" t="inlineStr">
        <is>
          <t>Barkod -&gt; Ürün -&gt; Kiler Uçtan Uca Akışı</t>
        </is>
      </c>
      <c r="F36" s="24" t="inlineStr">
        <is>
          <t>Okunan barkod POST /api/v1/pantry/scan ile gönderilir; backend önce products önbelleğine, yoksa Open Food Facts'e bakar. Sonuç onay ekranında gösterilir (miktar ve birim düzenlenebilir), onaylanınca kilere yazılır ve pantry_events'e 'eklendi' olayı düşer.</t>
        </is>
      </c>
      <c r="G36" s="24" t="inlineStr">
        <is>
          <t>Barkod okut -&gt; onayla -&gt; kiler listesinde ürün görünüyor akışı kesintisiz çalışıyor.</t>
        </is>
      </c>
      <c r="H36" s="23" t="n">
        <v>2.5</v>
      </c>
      <c r="I36" s="23" t="inlineStr">
        <is>
          <t>Kritik</t>
        </is>
      </c>
      <c r="J36" s="23" t="inlineStr">
        <is>
          <t>W2-T10</t>
        </is>
      </c>
      <c r="K36" s="23" t="inlineStr">
        <is>
          <t>Yapılacak</t>
        </is>
      </c>
    </row>
    <row r="37" ht="67" customHeight="1">
      <c r="A37" s="25" t="inlineStr">
        <is>
          <t>Hafta 2</t>
        </is>
      </c>
      <c r="B37" s="25" t="inlineStr">
        <is>
          <t>Gün 9</t>
        </is>
      </c>
      <c r="C37" s="25" t="inlineStr">
        <is>
          <t>W2-T12</t>
        </is>
      </c>
      <c r="D37" s="26" t="inlineStr">
        <is>
          <t>Kalori</t>
        </is>
      </c>
      <c r="E37" s="26" t="inlineStr">
        <is>
          <t>Öğün Kaydı (Meal Log) API'leri</t>
        </is>
      </c>
      <c r="F37" s="26" t="inlineStr">
        <is>
          <t>POST /api/v1/meals (öğün tipi, ürün/tarif referansı, porsiyon), GET /api/v1/meals/daily?date= (günlük toplam kcal + makro kırılımı), DELETE /api/v1/meals/{id}. ANLIK GÖRÜNTÜ İLKESİ: item_name, calories ve makrolar kayıt anında kopyalanır, sonradan ürün değişse bile geçmiş bozulmaz.</t>
        </is>
      </c>
      <c r="G37" s="26" t="inlineStr">
        <is>
          <t>Aynı güne 3 öğün eklendiğinde günlük özet doğru toplamı ve makro kırılımını dönüyor.</t>
        </is>
      </c>
      <c r="H37" s="25" t="n">
        <v>2.5</v>
      </c>
      <c r="I37" s="25" t="inlineStr">
        <is>
          <t>Kritik</t>
        </is>
      </c>
      <c r="J37" s="25" t="inlineStr">
        <is>
          <t>W1-T20</t>
        </is>
      </c>
      <c r="K37" s="25" t="inlineStr">
        <is>
          <t>Yapılacak</t>
        </is>
      </c>
    </row>
    <row r="38" ht="41.8" customHeight="1">
      <c r="A38" s="23" t="inlineStr">
        <is>
          <t>Hafta 2</t>
        </is>
      </c>
      <c r="B38" s="23" t="inlineStr">
        <is>
          <t>Gün 9</t>
        </is>
      </c>
      <c r="C38" s="23" t="inlineStr">
        <is>
          <t>W2-T13</t>
        </is>
      </c>
      <c r="D38" s="24" t="inlineStr">
        <is>
          <t>Mobil / Kalori</t>
        </is>
      </c>
      <c r="E38" s="24" t="inlineStr">
        <is>
          <t>Kalori Sayacı Ana Ekranı</t>
        </is>
      </c>
      <c r="F38" s="24" t="inlineStr">
        <is>
          <t>percent_indicator (veya CustomPainter) ile dairesel ilerleme halkası; protein/karbonhidrat/yağ barları; tarih seçici; öğün bazlı gruplu liste; 'kalan kalori' vurgusu.</t>
        </is>
      </c>
      <c r="G38" s="24" t="inlineStr">
        <is>
          <t>Öğün eklendiğinde halka ve makro barları anında güncelleniyor.</t>
        </is>
      </c>
      <c r="H38" s="23" t="n">
        <v>3</v>
      </c>
      <c r="I38" s="23" t="inlineStr">
        <is>
          <t>Kritik</t>
        </is>
      </c>
      <c r="J38" s="23" t="inlineStr">
        <is>
          <t>W2-T12</t>
        </is>
      </c>
      <c r="K38" s="23" t="inlineStr">
        <is>
          <t>Yapılacak</t>
        </is>
      </c>
    </row>
    <row r="39" ht="54.4" customHeight="1">
      <c r="A39" s="25" t="inlineStr">
        <is>
          <t>Hafta 2</t>
        </is>
      </c>
      <c r="B39" s="25" t="inlineStr">
        <is>
          <t>Gün 9-10</t>
        </is>
      </c>
      <c r="C39" s="25" t="inlineStr">
        <is>
          <t>W2-T14</t>
        </is>
      </c>
      <c r="D39" s="26" t="inlineStr">
        <is>
          <t>Kalori</t>
        </is>
      </c>
      <c r="E39" s="26" t="inlineStr">
        <is>
          <t>Gıda Arama ve Porsiyon Girişi</t>
        </is>
      </c>
      <c r="F39" s="26" t="inlineStr">
        <is>
          <t>Open Food Facts arama backend üzerinden proxy'lenir; sonuçlar 100 g bazında listelenir. Kullanıcı gram veya porsiyon girer (serving_size_g varsa hazır seçenek), kcal orantılı hesaplanır. 'Son eklenenler' ve 'Favoriler' kısayolları.</t>
        </is>
      </c>
      <c r="G39" s="26" t="inlineStr">
        <is>
          <t>'yogurt' araması sonuç dönüyor; 150 g seçildiğinde kalori doğru orantılanıyor.</t>
        </is>
      </c>
      <c r="H39" s="25" t="n">
        <v>2.5</v>
      </c>
      <c r="I39" s="25" t="inlineStr">
        <is>
          <t>Yüksek</t>
        </is>
      </c>
      <c r="J39" s="25" t="inlineStr">
        <is>
          <t>W2-T12</t>
        </is>
      </c>
      <c r="K39" s="25" t="inlineStr">
        <is>
          <t>Yapılacak</t>
        </is>
      </c>
    </row>
    <row r="40" ht="54.4" customHeight="1">
      <c r="A40" s="23" t="inlineStr">
        <is>
          <t>Hafta 2</t>
        </is>
      </c>
      <c r="B40" s="23" t="inlineStr">
        <is>
          <t>Gün 10</t>
        </is>
      </c>
      <c r="C40" s="23" t="inlineStr">
        <is>
          <t>W2-T15</t>
        </is>
      </c>
      <c r="D40" s="24" t="inlineStr">
        <is>
          <t>Backend / Liste</t>
        </is>
      </c>
      <c r="E40" s="24" t="inlineStr">
        <is>
          <t>Alışveriş Listesi Veri Modeli ve CRUD</t>
        </is>
      </c>
      <c r="F40" s="24" t="inlineStr">
        <is>
          <t>shopping_list_items: user_id, ingredient_id, custom_name, quantity, unit, source (manuel/esik/tarif/ongoru), source_recipe_id, is_checked, item_note. CRUD endpoint'leri + aynı ürünün mükerrer eklenmesini engelleyen upsert (miktar birleştirme) mantığı.</t>
        </is>
      </c>
      <c r="G40" s="24" t="inlineStr">
        <is>
          <t>Aynı ürün iki kez eklendiğinde tek satırda miktar birleşiyor.</t>
        </is>
      </c>
      <c r="H40" s="23" t="n">
        <v>2</v>
      </c>
      <c r="I40" s="23" t="inlineStr">
        <is>
          <t>Kritik</t>
        </is>
      </c>
      <c r="J40" s="23" t="inlineStr">
        <is>
          <t>W2-T02</t>
        </is>
      </c>
      <c r="K40" s="23" t="inlineStr">
        <is>
          <t>Yapılacak</t>
        </is>
      </c>
    </row>
    <row r="41" ht="54.4" customHeight="1">
      <c r="A41" s="25" t="inlineStr">
        <is>
          <t>Hafta 2</t>
        </is>
      </c>
      <c r="B41" s="25" t="inlineStr">
        <is>
          <t>Gün 10</t>
        </is>
      </c>
      <c r="C41" s="25" t="inlineStr">
        <is>
          <t>W2-T16</t>
        </is>
      </c>
      <c r="D41" s="26" t="inlineStr">
        <is>
          <t>Backend / Liste</t>
        </is>
      </c>
      <c r="E41" s="26" t="inlineStr">
        <is>
          <t>Kritik Eşik Altı Ürünlerin Otomatik Listeye Düşmesi</t>
        </is>
      </c>
      <c r="F41" s="26" t="inlineStr">
        <is>
          <t>Kiler güncelleme ve stok düşümü servislerinde quantity_base min_threshold_base altına inerse shopping_list'e source='esik' ile otomatik ekleme yapan servis katmanı. Mükerrer ekleme kontrolü ve kullanıcıya bildirim.</t>
        </is>
      </c>
      <c r="G41" s="26" t="inlineStr">
        <is>
          <t>5 kg mercimekten kullanılıp 0.5 kg kalınca ürün otomatik alışveriş listesine düşüyor.</t>
        </is>
      </c>
      <c r="H41" s="25" t="n">
        <v>2</v>
      </c>
      <c r="I41" s="25" t="inlineStr">
        <is>
          <t>Kritik</t>
        </is>
      </c>
      <c r="J41" s="25" t="inlineStr">
        <is>
          <t>W2-T15</t>
        </is>
      </c>
      <c r="K41" s="25" t="inlineStr">
        <is>
          <t>Yapılacak</t>
        </is>
      </c>
    </row>
    <row r="42" ht="41.8" customHeight="1">
      <c r="A42" s="23" t="inlineStr">
        <is>
          <t>Hafta 2</t>
        </is>
      </c>
      <c r="B42" s="23" t="inlineStr">
        <is>
          <t>Gün 10</t>
        </is>
      </c>
      <c r="C42" s="23" t="inlineStr">
        <is>
          <t>W2-T17</t>
        </is>
      </c>
      <c r="D42" s="24" t="inlineStr">
        <is>
          <t>Test</t>
        </is>
      </c>
      <c r="E42" s="24" t="inlineStr">
        <is>
          <t>Hafta 2 Entegrasyon Testi ve Hata Ayıklama</t>
        </is>
      </c>
      <c r="F42" s="24" t="inlineStr">
        <is>
          <t>Barkod okuma, manuel ekleme, kalori kaydı, eşik ve pantry_events senaryolarının uçtan uca denenmesi; hataların GitHub Issues'a yazılıp kapatılması; hafta demosu.</t>
        </is>
      </c>
      <c r="G42" s="24" t="inlineStr">
        <is>
          <t>Kritik seviyede açık hata kalmadı; demo kaydı alındı.</t>
        </is>
      </c>
      <c r="H42" s="23" t="n">
        <v>1.5</v>
      </c>
      <c r="I42" s="23" t="inlineStr">
        <is>
          <t>Yüksek</t>
        </is>
      </c>
      <c r="J42" s="23" t="inlineStr">
        <is>
          <t>W2-T16</t>
        </is>
      </c>
      <c r="K42" s="23" t="inlineStr">
        <is>
          <t>Yapılacak</t>
        </is>
      </c>
    </row>
    <row r="43" ht="41.8" customHeight="1">
      <c r="A43" s="25" t="inlineStr">
        <is>
          <t>Hafta 3</t>
        </is>
      </c>
      <c r="B43" s="25" t="inlineStr">
        <is>
          <t>Gün 11</t>
        </is>
      </c>
      <c r="C43" s="25" t="inlineStr">
        <is>
          <t>W3-T01</t>
        </is>
      </c>
      <c r="D43" s="26" t="inlineStr">
        <is>
          <t>Backend / Tarif</t>
        </is>
      </c>
      <c r="E43" s="26" t="inlineStr">
        <is>
          <t>Tarif Listeleme ve Detay API'leri (MongoDB)</t>
        </is>
      </c>
      <c r="F43" s="26" t="inlineStr">
        <is>
          <t>motor ile async sorgular: GET /api/v1/recipes (sayfalama, cuisine ve diet_tags filtresi, metin araması), GET /api/v1/recipes/{id}. Projection ile kart için gereken alanlar dönülür, payload küçültülür.</t>
        </is>
      </c>
      <c r="G43" s="26" t="inlineStr">
        <is>
          <t>50 tarif 300 ms altında dönüyor; detay endpoint'i tam dokümanı veriyor.</t>
        </is>
      </c>
      <c r="H43" s="25" t="n">
        <v>2.5</v>
      </c>
      <c r="I43" s="25" t="inlineStr">
        <is>
          <t>Kritik</t>
        </is>
      </c>
      <c r="J43" s="25" t="inlineStr">
        <is>
          <t>W1-T11</t>
        </is>
      </c>
      <c r="K43" s="25" t="inlineStr">
        <is>
          <t>Yapılacak</t>
        </is>
      </c>
    </row>
    <row r="44" ht="54.4" customHeight="1">
      <c r="A44" s="23" t="inlineStr">
        <is>
          <t>Hafta 3</t>
        </is>
      </c>
      <c r="B44" s="23" t="inlineStr">
        <is>
          <t>Gün 11</t>
        </is>
      </c>
      <c r="C44" s="23" t="inlineStr">
        <is>
          <t>W3-T02</t>
        </is>
      </c>
      <c r="D44" s="24" t="inlineStr">
        <is>
          <t>Algoritma</t>
        </is>
      </c>
      <c r="E44" s="24" t="inlineStr">
        <is>
          <t>Malzeme Eşleştirme ve Bulanık Arama Fonksiyonu</t>
        </is>
      </c>
      <c r="F44" s="24" t="inlineStr">
        <is>
          <t>Üç aşamalı eşleştirme: (1) ingredients.canonical_name tam eşleşme, (2) ingredient_aliases.alias tam eşleşme, (3) rapidfuzz token_set_ratio ile %85 üzeri bulanık eşleşme. Fonksiyon saf (pure) yazılıp pytest ile 20+ vaka test edilir.</t>
        </is>
      </c>
      <c r="G44" s="24" t="inlineStr">
        <is>
          <t>Test setinde malzeme eşleştirme doğruluğu %90'ın üzerinde.</t>
        </is>
      </c>
      <c r="H44" s="23" t="n">
        <v>2.5</v>
      </c>
      <c r="I44" s="23" t="inlineStr">
        <is>
          <t>Kritik</t>
        </is>
      </c>
      <c r="J44" s="23" t="inlineStr">
        <is>
          <t>W1-T12</t>
        </is>
      </c>
      <c r="K44" s="23" t="inlineStr">
        <is>
          <t>Yapılacak</t>
        </is>
      </c>
    </row>
    <row r="45" ht="92.2" customHeight="1">
      <c r="A45" s="27" t="inlineStr">
        <is>
          <t>Hafta 3</t>
        </is>
      </c>
      <c r="B45" s="27" t="inlineStr">
        <is>
          <t>Gün 11</t>
        </is>
      </c>
      <c r="C45" s="27" t="inlineStr">
        <is>
          <t>W3-T02A</t>
        </is>
      </c>
      <c r="D45" s="28" t="inlineStr">
        <is>
          <t>Algoritma / Veri</t>
        </is>
      </c>
      <c r="E45" s="28" t="inlineStr">
        <is>
          <t>Eşleşmeyen Malzeme Kaydı (unmatched_ingredients)</t>
        </is>
      </c>
      <c r="F45" s="28" t="inlineStr">
        <is>
          <t>Eşleştirme fonksiyonu sonuç bulamazsa metni normalize edip (küçük harf + trim + noktalama temizliği) unmatched_ingredients tablosuna yazar; kayıt varsa occurrence_count artırılır, last_seen_at güncellenir. source alanı nereden geldiğini belirtir (tarif_seed / kullanici_girisi / barkod_urun). GET /api/v1/admin/unmatched?limit=20 ile en sık çıkanlar frekans sırasıyla listelenir. Hafta sonu bu liste sözlüğe eklenerek eşleşme doğruluğu artırılır.</t>
        </is>
      </c>
      <c r="G45" s="28" t="inlineStr">
        <is>
          <t>100 tarif seed edildikten sonra tablo dolu; en sık 20 kayıt frekans sırasıyla listeleniyor.</t>
        </is>
      </c>
      <c r="H45" s="27" t="n">
        <v>1</v>
      </c>
      <c r="I45" s="27" t="inlineStr">
        <is>
          <t>Yüksek</t>
        </is>
      </c>
      <c r="J45" s="27" t="inlineStr">
        <is>
          <t>W3-T02</t>
        </is>
      </c>
      <c r="K45" s="27" t="inlineStr">
        <is>
          <t>Yapılacak</t>
        </is>
      </c>
    </row>
    <row r="46" ht="54.4" customHeight="1">
      <c r="A46" s="23" t="inlineStr">
        <is>
          <t>Hafta 3</t>
        </is>
      </c>
      <c r="B46" s="23" t="inlineStr">
        <is>
          <t>Gün 11-12</t>
        </is>
      </c>
      <c r="C46" s="23" t="inlineStr">
        <is>
          <t>W3-T03</t>
        </is>
      </c>
      <c r="D46" s="24" t="inlineStr">
        <is>
          <t>Algoritma</t>
        </is>
      </c>
      <c r="E46" s="24" t="inlineStr">
        <is>
          <t>Kiler-Tarif Eşleşme Skoru (MongoDB Aggregation)</t>
        </is>
      </c>
      <c r="F46" s="24" t="inlineStr">
        <is>
          <t>Kullanıcının kileri SQLite'tan canonical_name dizisi olarak çekilir (is_staple malzemeler otomatik eklenir). MongoDB aggregation: $addFields + $setIntersection ile eşleşen malzeme sayısı, match_ratio = eşleşen/toplam, $sort ile azalan sıralama, $limit.</t>
        </is>
      </c>
      <c r="G46" s="24" t="inlineStr">
        <is>
          <t>'Elimde ne var?' sorgusu eşleşme yüzdesiyle sıralı tarif listesi dönüyor.</t>
        </is>
      </c>
      <c r="H46" s="23" t="n">
        <v>3.5</v>
      </c>
      <c r="I46" s="23" t="inlineStr">
        <is>
          <t>Kritik</t>
        </is>
      </c>
      <c r="J46" s="23" t="inlineStr">
        <is>
          <t>W3-T02</t>
        </is>
      </c>
      <c r="K46" s="23" t="inlineStr">
        <is>
          <t>Yapılacak</t>
        </is>
      </c>
    </row>
    <row r="47" ht="54.4" customHeight="1">
      <c r="A47" s="25" t="inlineStr">
        <is>
          <t>Hafta 3</t>
        </is>
      </c>
      <c r="B47" s="25" t="inlineStr">
        <is>
          <t>Gün 12</t>
        </is>
      </c>
      <c r="C47" s="25" t="inlineStr">
        <is>
          <t>W3-T04</t>
        </is>
      </c>
      <c r="D47" s="26" t="inlineStr">
        <is>
          <t>Algoritma</t>
        </is>
      </c>
      <c r="E47" s="26" t="inlineStr">
        <is>
          <t>Diyet, Alerjen ve Kalori Filtre Katmanı</t>
        </is>
      </c>
      <c r="F47" s="26" t="inlineStr">
        <is>
          <t>user_diet_tags'e göre diet_tags $in filtresi; user_allergens'e göre allergens $nin filtresi (GÜVENLİK KRİTİK, asla atlanmaz); günün kalan kalorisi hesaplanarak calories_per_serving &lt;= kalan_kalori koşulu. Filtreler zincirlenebilir tasarlanır.</t>
        </is>
      </c>
      <c r="G47" s="26" t="inlineStr">
        <is>
          <t>Vegan kullanıcıya hiçbir koşulda etli tarif, fındık alerjisi olana fındıklı tarif dönmüyor (otomatik test ile kanıtlı).</t>
        </is>
      </c>
      <c r="H47" s="25" t="n">
        <v>3</v>
      </c>
      <c r="I47" s="25" t="inlineStr">
        <is>
          <t>Kritik</t>
        </is>
      </c>
      <c r="J47" s="25" t="inlineStr">
        <is>
          <t>W3-T03</t>
        </is>
      </c>
      <c r="K47" s="25" t="inlineStr">
        <is>
          <t>Yapılacak</t>
        </is>
      </c>
    </row>
    <row r="48" ht="54.4" customHeight="1">
      <c r="A48" s="23" t="inlineStr">
        <is>
          <t>Hafta 3</t>
        </is>
      </c>
      <c r="B48" s="23" t="inlineStr">
        <is>
          <t>Gün 12</t>
        </is>
      </c>
      <c r="C48" s="23" t="inlineStr">
        <is>
          <t>W3-T05</t>
        </is>
      </c>
      <c r="D48" s="24" t="inlineStr">
        <is>
          <t>Algoritma</t>
        </is>
      </c>
      <c r="E48" s="24" t="inlineStr">
        <is>
          <t>Ağırlıklı Öneri Skorlaması (Kural Tabanlı)</t>
        </is>
      </c>
      <c r="F48" s="24" t="inlineStr">
        <is>
          <t>final_score = 0.55*kiler_eslesme + 0.20*kalori_uygunlugu + 0.15*kullanici_begeni_agirligi + 0.10*sure_uygunlugu. Ağırlıklar config'ten okunur. Açıklanabilirlik için skor kırılımı response'a eklenir. Derin öğrenme yerine kural tabanlı yaklaşım GPU maliyetini sıfırlar.</t>
        </is>
      </c>
      <c r="G48" s="24" t="inlineStr">
        <is>
          <t>Skor sıralaması tekrarlanabilir; skor kırılımı API yanıtında görünüyor.</t>
        </is>
      </c>
      <c r="H48" s="23" t="n">
        <v>2.5</v>
      </c>
      <c r="I48" s="23" t="inlineStr">
        <is>
          <t>Kritik</t>
        </is>
      </c>
      <c r="J48" s="23" t="inlineStr">
        <is>
          <t>W3-T04</t>
        </is>
      </c>
      <c r="K48" s="23" t="inlineStr">
        <is>
          <t>Yapılacak</t>
        </is>
      </c>
    </row>
    <row r="49" ht="67" customHeight="1">
      <c r="A49" s="25" t="inlineStr">
        <is>
          <t>Hafta 3</t>
        </is>
      </c>
      <c r="B49" s="25" t="inlineStr">
        <is>
          <t>Gün 12-13</t>
        </is>
      </c>
      <c r="C49" s="25" t="inlineStr">
        <is>
          <t>W3-T06</t>
        </is>
      </c>
      <c r="D49" s="26" t="inlineStr">
        <is>
          <t>Algoritma</t>
        </is>
      </c>
      <c r="E49" s="26" t="inlineStr">
        <is>
          <t>Kendini Eğiten Profil (Geri Bildirim Döngüsü)</t>
        </is>
      </c>
      <c r="F49" s="26" t="inlineStr">
        <is>
          <t>recipe_feedback olayları (begendim/begenmedim/yaptim) user_taste_weights tablosunu üstel hareketli ortalama ile günceller (dimension: cuisine/diet_tag/ingredient). Bu vektör W3-T05 skorlamasında kullanılır. KURAL: öğrenilen tercih, beyan edilen diyet/alerjen kısıtını ASLA ezemez.</t>
        </is>
      </c>
      <c r="G49" s="26" t="inlineStr">
        <is>
          <t>5 'beğendim' sonrası ilgili mutfak türü öneri listesinde belirgin şekilde yukarı çıkıyor; alerjen filtresi hiç etkilenmiyor.</t>
        </is>
      </c>
      <c r="H49" s="25" t="n">
        <v>2.5</v>
      </c>
      <c r="I49" s="25" t="inlineStr">
        <is>
          <t>Yüksek</t>
        </is>
      </c>
      <c r="J49" s="25" t="inlineStr">
        <is>
          <t>W3-T05</t>
        </is>
      </c>
      <c r="K49" s="25" t="inlineStr">
        <is>
          <t>Yapılacak</t>
        </is>
      </c>
    </row>
    <row r="50" ht="41.8" customHeight="1">
      <c r="A50" s="23" t="inlineStr">
        <is>
          <t>Hafta 3</t>
        </is>
      </c>
      <c r="B50" s="23" t="inlineStr">
        <is>
          <t>Gün 13</t>
        </is>
      </c>
      <c r="C50" s="23" t="inlineStr">
        <is>
          <t>W3-T07</t>
        </is>
      </c>
      <c r="D50" s="24" t="inlineStr">
        <is>
          <t>Mobil / Tarif</t>
        </is>
      </c>
      <c r="E50" s="24" t="inlineStr">
        <is>
          <t>Tarif Kartı Listesi Ekranı</t>
        </is>
      </c>
      <c r="F50" s="24" t="inlineStr">
        <is>
          <t>Card widget: cached_network_image ile görsel, başlık, kalori/porsiyon, süre, zorluk ve 'Kilerinle %85 uyumlu' rozeti. Yatay FilterChip'ler (Vegan / 30 dk altı / Düşük kalori). Kaydırma konumu korunur.</t>
        </is>
      </c>
      <c r="G50" s="24" t="inlineStr">
        <is>
          <t>Kartlar akıcı kayıyor; eşleşme rozeti backend'den gelen doğru yüzdeyi gösteriyor.</t>
        </is>
      </c>
      <c r="H50" s="23" t="n">
        <v>2.5</v>
      </c>
      <c r="I50" s="23" t="inlineStr">
        <is>
          <t>Kritik</t>
        </is>
      </c>
      <c r="J50" s="23" t="inlineStr">
        <is>
          <t>W3-T05</t>
        </is>
      </c>
      <c r="K50" s="23" t="inlineStr">
        <is>
          <t>Yapılacak</t>
        </is>
      </c>
    </row>
    <row r="51" ht="41.8" customHeight="1">
      <c r="A51" s="25" t="inlineStr">
        <is>
          <t>Hafta 3</t>
        </is>
      </c>
      <c r="B51" s="25" t="inlineStr">
        <is>
          <t>Gün 13</t>
        </is>
      </c>
      <c r="C51" s="25" t="inlineStr">
        <is>
          <t>W3-T08</t>
        </is>
      </c>
      <c r="D51" s="26" t="inlineStr">
        <is>
          <t>Mobil / Tarif</t>
        </is>
      </c>
      <c r="E51" s="26" t="inlineStr">
        <is>
          <t>Tarif Detay Ekranı</t>
        </is>
      </c>
      <c r="F51" s="26" t="inlineStr">
        <is>
          <t>CustomScrollView + SliverAppBar ile görsel başlık; malzeme listesi, numaralı yapılış adımları (ilerleme işaretlemeli), kalori ve makro bilgisi, süreler. Sticky alt buton: 'Bu Tarifi Yaptım'.</t>
        </is>
      </c>
      <c r="G51" s="26" t="inlineStr">
        <is>
          <t>Tarif detayı eksiksiz görüntüleniyor; geri dönüşte liste konumu korunuyor.</t>
        </is>
      </c>
      <c r="H51" s="25" t="n">
        <v>2.5</v>
      </c>
      <c r="I51" s="25" t="inlineStr">
        <is>
          <t>Kritik</t>
        </is>
      </c>
      <c r="J51" s="25" t="inlineStr">
        <is>
          <t>W3-T07</t>
        </is>
      </c>
      <c r="K51" s="25" t="inlineStr">
        <is>
          <t>Yapılacak</t>
        </is>
      </c>
    </row>
    <row r="52" ht="54.4" customHeight="1">
      <c r="A52" s="23" t="inlineStr">
        <is>
          <t>Hafta 3</t>
        </is>
      </c>
      <c r="B52" s="23" t="inlineStr">
        <is>
          <t>Gün 13</t>
        </is>
      </c>
      <c r="C52" s="23" t="inlineStr">
        <is>
          <t>W3-T09</t>
        </is>
      </c>
      <c r="D52" s="24" t="inlineStr">
        <is>
          <t>Mobil / Tarif</t>
        </is>
      </c>
      <c r="E52" s="24" t="inlineStr">
        <is>
          <t>Porsiyon (Kaç Kişilik) Ayarı ve Ölçekleme</t>
        </is>
      </c>
      <c r="F52" s="24" t="inlineStr">
        <is>
          <t>Stepper ile 1-10 kişi (varsayılan user_profiles.household_size). scale = secilen/recipe.servings; malzeme miktarları ve kalori anlık yeniden hesaplanır. Ondalıklar okunabilir yuvarlanır (0.5 su bardağı).</t>
        </is>
      </c>
      <c r="G52" s="24" t="inlineStr">
        <is>
          <t>4 kişilik seçildiğinde tüm malzeme miktarları ve kalori doğru katlanıyor.</t>
        </is>
      </c>
      <c r="H52" s="23" t="n">
        <v>2</v>
      </c>
      <c r="I52" s="23" t="inlineStr">
        <is>
          <t>Yüksek</t>
        </is>
      </c>
      <c r="J52" s="23" t="inlineStr">
        <is>
          <t>W3-T08</t>
        </is>
      </c>
      <c r="K52" s="23" t="inlineStr">
        <is>
          <t>Yapılacak</t>
        </is>
      </c>
    </row>
    <row r="53" ht="54.4" customHeight="1">
      <c r="A53" s="25" t="inlineStr">
        <is>
          <t>Hafta 3</t>
        </is>
      </c>
      <c r="B53" s="25" t="inlineStr">
        <is>
          <t>Gün 14</t>
        </is>
      </c>
      <c r="C53" s="25" t="inlineStr">
        <is>
          <t>W3-T10</t>
        </is>
      </c>
      <c r="D53" s="26" t="inlineStr">
        <is>
          <t>AI / LLM</t>
        </is>
      </c>
      <c r="E53" s="26" t="inlineStr">
        <is>
          <t>Groq (LLaMA 3) API Servis Katmanı</t>
        </is>
      </c>
      <c r="F53" s="26" t="inlineStr">
        <is>
          <t>Groq API anahtarı .env'e alınır (mobil tarafa ASLA gömülmez). services/llm.py: model seçimi, temperature, max_tokens, timeout, 429/500 için exponential backoff, token kullanım logu. Sağlayıcı arayüzü soyutlanır (OpenAI'ye geçiş tek satır).</t>
        </is>
      </c>
      <c r="G53" s="26" t="inlineStr">
        <is>
          <t>Basit bir prompt'a 2 sn altında yanıt dönüyor; hata durumları yakalanıyor.</t>
        </is>
      </c>
      <c r="H53" s="25" t="n">
        <v>2.5</v>
      </c>
      <c r="I53" s="25" t="inlineStr">
        <is>
          <t>Kritik</t>
        </is>
      </c>
      <c r="J53" s="25" t="inlineStr">
        <is>
          <t>W1-T03</t>
        </is>
      </c>
      <c r="K53" s="25" t="inlineStr">
        <is>
          <t>Yapılacak</t>
        </is>
      </c>
    </row>
    <row r="54" ht="67" customHeight="1">
      <c r="A54" s="23" t="inlineStr">
        <is>
          <t>Hafta 3</t>
        </is>
      </c>
      <c r="B54" s="23" t="inlineStr">
        <is>
          <t>Gün 14</t>
        </is>
      </c>
      <c r="C54" s="23" t="inlineStr">
        <is>
          <t>W3-T11</t>
        </is>
      </c>
      <c r="D54" s="24" t="inlineStr">
        <is>
          <t>AI / RAG</t>
        </is>
      </c>
      <c r="E54" s="24" t="inlineStr">
        <is>
          <t>RAG Retrieval (Bağlam Toplama) Katmanı</t>
        </is>
      </c>
      <c r="F54" s="24" t="inlineStr">
        <is>
          <t>Kullanıcı mesajı geldiğinde: (1) niyet çıkarımı (hafif/tok tutan/hızlı/tatlı), (2) SQLite'tan kiler + profil + diyet/alerjen + kalan kalori çekilir, (3) W3-T03/T04 filtreleriyle en iyi 5-8 tarif alınır, (4) kompakt JSON olarak prompt bağlamına gömülür. Token maliyeti için sadece gerekli alanlar gönderilir.</t>
        </is>
      </c>
      <c r="G54" s="24" t="inlineStr">
        <is>
          <t>Bağlam boyutu 1500 token altında kalıyor ve doğru tarifleri içeriyor.</t>
        </is>
      </c>
      <c r="H54" s="23" t="n">
        <v>3</v>
      </c>
      <c r="I54" s="23" t="inlineStr">
        <is>
          <t>Kritik</t>
        </is>
      </c>
      <c r="J54" s="23" t="inlineStr">
        <is>
          <t>W3-T05</t>
        </is>
      </c>
      <c r="K54" s="23" t="inlineStr">
        <is>
          <t>Yapılacak</t>
        </is>
      </c>
    </row>
    <row r="55" ht="54.4" customHeight="1">
      <c r="A55" s="25" t="inlineStr">
        <is>
          <t>Hafta 3</t>
        </is>
      </c>
      <c r="B55" s="25" t="inlineStr">
        <is>
          <t>Gün 14</t>
        </is>
      </c>
      <c r="C55" s="25" t="inlineStr">
        <is>
          <t>W3-T12</t>
        </is>
      </c>
      <c r="D55" s="26" t="inlineStr">
        <is>
          <t>AI / RAG</t>
        </is>
      </c>
      <c r="E55" s="26" t="inlineStr">
        <is>
          <t>Sistem Promptu ve Prompt Mühendisliği</t>
        </is>
      </c>
      <c r="F55" s="26" t="inlineStr">
        <is>
          <t>Rol tanımı (Türkçe mutfak ve beslenme asistanı), katı kurallar (yalnızca verilen tariflerden öner, tarif UYDURMA, alerjen içeren tarifi asla önerme, kalan kaloriyi aşma), çıktı sözleşmesi (JSON: {mesaj, onerilen_tarif_idleri[]}). 2-3 few-shot örneği.</t>
        </is>
      </c>
      <c r="G55" s="26" t="inlineStr">
        <is>
          <t>'Bugün hafif bir şey istiyorum' sorusuna, bağlamdaki tariflerden geçerli JSON dönüyor.</t>
        </is>
      </c>
      <c r="H55" s="25" t="n">
        <v>3</v>
      </c>
      <c r="I55" s="25" t="inlineStr">
        <is>
          <t>Kritik</t>
        </is>
      </c>
      <c r="J55" s="25" t="inlineStr">
        <is>
          <t>W3-T11</t>
        </is>
      </c>
      <c r="K55" s="25" t="inlineStr">
        <is>
          <t>Yapılacak</t>
        </is>
      </c>
    </row>
    <row r="56" ht="54.4" customHeight="1">
      <c r="A56" s="23" t="inlineStr">
        <is>
          <t>Hafta 3</t>
        </is>
      </c>
      <c r="B56" s="23" t="inlineStr">
        <is>
          <t>Gün 14-15</t>
        </is>
      </c>
      <c r="C56" s="23" t="inlineStr">
        <is>
          <t>W3-T13</t>
        </is>
      </c>
      <c r="D56" s="24" t="inlineStr">
        <is>
          <t>AI / Maliyet</t>
        </is>
      </c>
      <c r="E56" s="24" t="inlineStr">
        <is>
          <t>LLM Yanıt Önbelleği ve Maliyet Kontrolü</t>
        </is>
      </c>
      <c r="F56" s="24" t="inlineStr">
        <is>
          <t>llm_cache tablosu: cache_key = sha256(normalize_soru + kiler_parmak_izi + profil_parmak_izi). Aynı bağlamda aynı soru API'ye gitmeden yanıtlanır; hit_count ve expires_at tutulur. Kullanıcı başına günlük istek limiti.</t>
        </is>
      </c>
      <c r="G56" s="24" t="inlineStr">
        <is>
          <t>Aynı soru ikinci kez sorulduğunda dış API çağrısı yapılmıyor; yanıt 200 ms altında.</t>
        </is>
      </c>
      <c r="H56" s="23" t="n">
        <v>2</v>
      </c>
      <c r="I56" s="23" t="inlineStr">
        <is>
          <t>Yüksek</t>
        </is>
      </c>
      <c r="J56" s="23" t="inlineStr">
        <is>
          <t>W3-T12</t>
        </is>
      </c>
      <c r="K56" s="23" t="inlineStr">
        <is>
          <t>Yapılacak</t>
        </is>
      </c>
    </row>
    <row r="57" ht="67" customHeight="1">
      <c r="A57" s="25" t="inlineStr">
        <is>
          <t>Hafta 3</t>
        </is>
      </c>
      <c r="B57" s="25" t="inlineStr">
        <is>
          <t>Gün 15</t>
        </is>
      </c>
      <c r="C57" s="25" t="inlineStr">
        <is>
          <t>W3-T14</t>
        </is>
      </c>
      <c r="D57" s="26" t="inlineStr">
        <is>
          <t>Mobil / Chatbot</t>
        </is>
      </c>
      <c r="E57" s="26" t="inlineStr">
        <is>
          <t>Chatbot Sohbet Arayüzü</t>
        </is>
      </c>
      <c r="F57" s="26" t="inlineStr">
        <is>
          <t>Mesaj baloncukları (kullanıcı/asistan), otomatik kaydırma (ScrollController), 'yazıyor...' göstergesi, hazır soru ActionChip'leri ('Hafif bir şey öner', 'Kilerimde ne pişirebilirim?', '20 dakikada ne yaparım?'), hata ve boş durum. Sohbet geçmişi chat_conversations/chat_messages'tan yüklenir.</t>
        </is>
      </c>
      <c r="G57" s="26" t="inlineStr">
        <is>
          <t>Soru gönderilip yanıt ekranda gösteriliyor; klavye ve kaydırma davranışı sorunsuz.</t>
        </is>
      </c>
      <c r="H57" s="25" t="n">
        <v>3</v>
      </c>
      <c r="I57" s="25" t="inlineStr">
        <is>
          <t>Kritik</t>
        </is>
      </c>
      <c r="J57" s="25" t="inlineStr">
        <is>
          <t>W3-T12</t>
        </is>
      </c>
      <c r="K57" s="25" t="inlineStr">
        <is>
          <t>Yapılacak</t>
        </is>
      </c>
    </row>
    <row r="58" ht="41.8" customHeight="1">
      <c r="A58" s="23" t="inlineStr">
        <is>
          <t>Hafta 3</t>
        </is>
      </c>
      <c r="B58" s="23" t="inlineStr">
        <is>
          <t>Gün 15</t>
        </is>
      </c>
      <c r="C58" s="23" t="inlineStr">
        <is>
          <t>W3-T15</t>
        </is>
      </c>
      <c r="D58" s="24" t="inlineStr">
        <is>
          <t>Mobil / Chatbot</t>
        </is>
      </c>
      <c r="E58" s="24" t="inlineStr">
        <is>
          <t>Chatbot Yanıtından Tarif Kartına Derin Bağlantı</t>
        </is>
      </c>
      <c r="F58" s="24" t="inlineStr">
        <is>
          <t>LLM'in döndürdüğü onerilen_tarif_idleri sohbet içinde mini tarif kartlarına dönüştürülür; go_router ile Tarif Detay ekranına deep link.</t>
        </is>
      </c>
      <c r="G58" s="24" t="inlineStr">
        <is>
          <t>Sohbetteki karta tıklayınca doğru tarif detayı açılıyor.</t>
        </is>
      </c>
      <c r="H58" s="23" t="n">
        <v>2</v>
      </c>
      <c r="I58" s="23" t="inlineStr">
        <is>
          <t>Yüksek</t>
        </is>
      </c>
      <c r="J58" s="23" t="inlineStr">
        <is>
          <t>W3-T14</t>
        </is>
      </c>
      <c r="K58" s="23" t="inlineStr">
        <is>
          <t>Yapılacak</t>
        </is>
      </c>
    </row>
    <row r="59" ht="41.8" customHeight="1">
      <c r="A59" s="25" t="inlineStr">
        <is>
          <t>Hafta 3</t>
        </is>
      </c>
      <c r="B59" s="25" t="inlineStr">
        <is>
          <t>Gün 15</t>
        </is>
      </c>
      <c r="C59" s="25" t="inlineStr">
        <is>
          <t>W3-T16</t>
        </is>
      </c>
      <c r="D59" s="26" t="inlineStr">
        <is>
          <t>Test</t>
        </is>
      </c>
      <c r="E59" s="26" t="inlineStr">
        <is>
          <t>Hafta 3 Algoritma Doğrulama ve Ölçüm</t>
        </is>
      </c>
      <c r="F59" s="26" t="inlineStr">
        <is>
          <t>10 farklı kiler senaryosuyla öneri kalitesi elle puanlanır; unmatched_ingredients listesindeki en sık 20 kayıt sözlüğe eklenir. LLM yanıt süresi, token tüketimi ve tahmini maliyet kaydedilir.</t>
        </is>
      </c>
      <c r="G59" s="26" t="inlineStr">
        <is>
          <t>Öneri isabet oranı, ortalama yanıt süresi ve token maliyeti tabloya işlendi; sözlük genişletildi.</t>
        </is>
      </c>
      <c r="H59" s="25" t="n">
        <v>2</v>
      </c>
      <c r="I59" s="25" t="inlineStr">
        <is>
          <t>Orta</t>
        </is>
      </c>
      <c r="J59" s="25" t="inlineStr">
        <is>
          <t>W3-T15</t>
        </is>
      </c>
      <c r="K59" s="25" t="inlineStr">
        <is>
          <t>Yapılacak</t>
        </is>
      </c>
    </row>
    <row r="60" ht="79.59999999999999" customHeight="1">
      <c r="A60" s="23" t="inlineStr">
        <is>
          <t>Hafta 4</t>
        </is>
      </c>
      <c r="B60" s="23" t="inlineStr">
        <is>
          <t>Gün 16</t>
        </is>
      </c>
      <c r="C60" s="23" t="inlineStr">
        <is>
          <t>W4-T01</t>
        </is>
      </c>
      <c r="D60" s="24" t="inlineStr">
        <is>
          <t>Backend / Tarif</t>
        </is>
      </c>
      <c r="E60" s="24" t="inlineStr">
        <is>
          <t>Malzeme Durum Servisi (Yeşil / Kırmızı / Gri)</t>
        </is>
      </c>
      <c r="F60" s="24" t="inlineStr">
        <is>
          <t>GET /api/v1/recipes/{id}/ingredient-status: tarifin her malzemesi kilerle çapraz kontrol edilir. Kilerde YETERLİ miktar varsa 'available' (yeşil), kilerde yok veya miktar yetersizse 'missing' (kırmızı), ingredients sözlüğünde karşılığı yoksa 'unknown' (gri). Karşılaştırma birim dönüşümüyle (grams_per_piece, ml_to_gram_factor) yapılır; is_staple malzemeler otomatik yeşil.</t>
        </is>
      </c>
      <c r="G60" s="24" t="inlineStr">
        <is>
          <t>Üç durum da gerçek veriyle doğrulandı; yetersiz miktar 'kırmızı' işaretleniyor.</t>
        </is>
      </c>
      <c r="H60" s="23" t="n">
        <v>3</v>
      </c>
      <c r="I60" s="23" t="inlineStr">
        <is>
          <t>Kritik</t>
        </is>
      </c>
      <c r="J60" s="23" t="inlineStr">
        <is>
          <t>W3-T02</t>
        </is>
      </c>
      <c r="K60" s="23" t="inlineStr">
        <is>
          <t>Yapılacak</t>
        </is>
      </c>
    </row>
    <row r="61" ht="54.4" customHeight="1">
      <c r="A61" s="25" t="inlineStr">
        <is>
          <t>Hafta 4</t>
        </is>
      </c>
      <c r="B61" s="25" t="inlineStr">
        <is>
          <t>Gün 16</t>
        </is>
      </c>
      <c r="C61" s="25" t="inlineStr">
        <is>
          <t>W4-T02</t>
        </is>
      </c>
      <c r="D61" s="26" t="inlineStr">
        <is>
          <t>Mobil / Tarif</t>
        </is>
      </c>
      <c r="E61" s="26" t="inlineStr">
        <is>
          <t>Renkli Malzeme Kartlarının Arayüzde Gösterimi</t>
        </is>
      </c>
      <c r="F61" s="26" t="inlineStr">
        <is>
          <t>Tarif detayında malzeme satırları semantik renklerle: yeşil (#2E7D32) var, kırmızı (#C62828) yok, gri (#9E9E9E) veri yok. Renk körlüğü için renge ek olarak Icon + metin etiketi; kısa bir açıklama (legend) eklenir.</t>
        </is>
      </c>
      <c r="G61" s="26" t="inlineStr">
        <is>
          <t>Kart açıldığında renkler doğru; erişilebilirlik için yalnızca renge bağımlılık yok.</t>
        </is>
      </c>
      <c r="H61" s="25" t="n">
        <v>2.5</v>
      </c>
      <c r="I61" s="25" t="inlineStr">
        <is>
          <t>Kritik</t>
        </is>
      </c>
      <c r="J61" s="25" t="inlineStr">
        <is>
          <t>W4-T01</t>
        </is>
      </c>
      <c r="K61" s="25" t="inlineStr">
        <is>
          <t>Yapılacak</t>
        </is>
      </c>
    </row>
    <row r="62" ht="67" customHeight="1">
      <c r="A62" s="23" t="inlineStr">
        <is>
          <t>Hafta 4</t>
        </is>
      </c>
      <c r="B62" s="23" t="inlineStr">
        <is>
          <t>Gün 16-17</t>
        </is>
      </c>
      <c r="C62" s="23" t="inlineStr">
        <is>
          <t>W4-T03</t>
        </is>
      </c>
      <c r="D62" s="24" t="inlineStr">
        <is>
          <t>Backend / Kiler</t>
        </is>
      </c>
      <c r="E62" s="24" t="inlineStr">
        <is>
          <t>'Bu Tarifi Yaptım' -&gt; Kilerden Otomatik Stok Düşümü</t>
        </is>
      </c>
      <c r="F62" s="24" t="inlineStr">
        <is>
          <t>POST /api/v1/recipes/{id}/cook: porsiyon çarpanı uygulanmış malzeme miktarları birim dönüşümüyle kilerden düşülür (tek transaction). Her düşüm pantry_events'e 'tuketildi_tarif' olayı olarak yazılır. Miktar 0'a inerse is_active=false, eşik altına inerse alışveriş listesi tetiklenir. Kısmi hatada rollback.</t>
        </is>
      </c>
      <c r="G62" s="24" t="inlineStr">
        <is>
          <t>Mercimekli yemek yapıldığında 5 kg'dan doğru miktar düşüyor, olay günlüğüne yazılıyor ve eşik tetikleniyor.</t>
        </is>
      </c>
      <c r="H62" s="23" t="n">
        <v>3.5</v>
      </c>
      <c r="I62" s="23" t="inlineStr">
        <is>
          <t>Kritik</t>
        </is>
      </c>
      <c r="J62" s="23" t="inlineStr">
        <is>
          <t>W2-T16</t>
        </is>
      </c>
      <c r="K62" s="23" t="inlineStr">
        <is>
          <t>Yapılacak</t>
        </is>
      </c>
    </row>
    <row r="63" ht="41.8" customHeight="1">
      <c r="A63" s="25" t="inlineStr">
        <is>
          <t>Hafta 4</t>
        </is>
      </c>
      <c r="B63" s="25" t="inlineStr">
        <is>
          <t>Gün 17</t>
        </is>
      </c>
      <c r="C63" s="25" t="inlineStr">
        <is>
          <t>W4-T04</t>
        </is>
      </c>
      <c r="D63" s="26" t="inlineStr">
        <is>
          <t>Kalori</t>
        </is>
      </c>
      <c r="E63" s="26" t="inlineStr">
        <is>
          <t>Yapılan Yemeğin Kalori Günlüğüne Otomatik Yazılması</t>
        </is>
      </c>
      <c r="F63" s="26" t="inlineStr">
        <is>
          <t>cook işlemi sırasında seçilen porsiyon kadar kalori ve makro meal_logs'a otomatik eklenir (source='tarif'); kullanıcıya öğün tipi sorulur. Kiler düşümü ve kalori kaydı tek atomik akışta yürütülür.</t>
        </is>
      </c>
      <c r="G63" s="26" t="inlineStr">
        <is>
          <t>'Yaptım' denince hem kiler azalıyor hem günlük kalori artıyor.</t>
        </is>
      </c>
      <c r="H63" s="25" t="n">
        <v>1.5</v>
      </c>
      <c r="I63" s="25" t="inlineStr">
        <is>
          <t>Yüksek</t>
        </is>
      </c>
      <c r="J63" s="25" t="inlineStr">
        <is>
          <t>W4-T03</t>
        </is>
      </c>
      <c r="K63" s="25" t="inlineStr">
        <is>
          <t>Yapılacak</t>
        </is>
      </c>
    </row>
    <row r="64" ht="41.8" customHeight="1">
      <c r="A64" s="23" t="inlineStr">
        <is>
          <t>Hafta 4</t>
        </is>
      </c>
      <c r="B64" s="23" t="inlineStr">
        <is>
          <t>Gün 17</t>
        </is>
      </c>
      <c r="C64" s="23" t="inlineStr">
        <is>
          <t>W4-T05</t>
        </is>
      </c>
      <c r="D64" s="24" t="inlineStr">
        <is>
          <t>Backend / Liste</t>
        </is>
      </c>
      <c r="E64" s="24" t="inlineStr">
        <is>
          <t>Eksik Malzemeleri Tek Dokunuşla Alışveriş Listesine Ekleme</t>
        </is>
      </c>
      <c r="F64" s="24" t="inlineStr">
        <is>
          <t>Kırmızı (missing) malzemeler için 'Eksikleri Listeye Ekle' butonu; POST /api/v1/shopping-list/bulk ile source='tarif' ve source_recipe_id doldurularak toplu eklenir, mevcutlarla birleştirilir.</t>
        </is>
      </c>
      <c r="G64" s="24" t="inlineStr">
        <is>
          <t>Butona basınca eksik malzemelerin tamamı listede, mükerrer kayıt oluşmuyor.</t>
        </is>
      </c>
      <c r="H64" s="23" t="n">
        <v>2</v>
      </c>
      <c r="I64" s="23" t="inlineStr">
        <is>
          <t>Kritik</t>
        </is>
      </c>
      <c r="J64" s="23" t="inlineStr">
        <is>
          <t>W4-T01</t>
        </is>
      </c>
      <c r="K64" s="23" t="inlineStr">
        <is>
          <t>Yapılacak</t>
        </is>
      </c>
    </row>
    <row r="65" ht="54.4" customHeight="1">
      <c r="A65" s="25" t="inlineStr">
        <is>
          <t>Hafta 4</t>
        </is>
      </c>
      <c r="B65" s="25" t="inlineStr">
        <is>
          <t>Gün 17-18</t>
        </is>
      </c>
      <c r="C65" s="25" t="inlineStr">
        <is>
          <t>W4-T06</t>
        </is>
      </c>
      <c r="D65" s="26" t="inlineStr">
        <is>
          <t>Mobil / Liste</t>
        </is>
      </c>
      <c r="E65" s="26" t="inlineStr">
        <is>
          <t>Alışveriş Listesi Ekranı</t>
        </is>
      </c>
      <c r="F65" s="26" t="inlineStr">
        <is>
          <t>Kategoriye göre gruplu liste, CheckboxListTile ile işaretleme, 'İşaretlenenleri Kilere Aktar' toplu aksiyonu (kiler güncellenir + pantry_events'e 'eklendi' yazılır), kaynak rozeti (manuel/eşik/tarif), Share.share ile listeyi paylaşma.</t>
        </is>
      </c>
      <c r="G65" s="26" t="inlineStr">
        <is>
          <t>İşaretlenen ürünler kilere aktarılınca listeden düşüyor ve kiler miktarları artıyor.</t>
        </is>
      </c>
      <c r="H65" s="25" t="n">
        <v>3</v>
      </c>
      <c r="I65" s="25" t="inlineStr">
        <is>
          <t>Kritik</t>
        </is>
      </c>
      <c r="J65" s="25" t="inlineStr">
        <is>
          <t>W4-T05</t>
        </is>
      </c>
      <c r="K65" s="25" t="inlineStr">
        <is>
          <t>Yapılacak</t>
        </is>
      </c>
    </row>
    <row r="66" ht="67" customHeight="1">
      <c r="A66" s="23" t="inlineStr">
        <is>
          <t>Hafta 4</t>
        </is>
      </c>
      <c r="B66" s="23" t="inlineStr">
        <is>
          <t>Gün 18</t>
        </is>
      </c>
      <c r="C66" s="23" t="inlineStr">
        <is>
          <t>W4-T07</t>
        </is>
      </c>
      <c r="D66" s="24" t="inlineStr">
        <is>
          <t>Bonus</t>
        </is>
      </c>
      <c r="E66" s="24" t="inlineStr">
        <is>
          <t>Son Kullanma Tarihi (SKT) Takibi ve Bildirim</t>
        </is>
      </c>
      <c r="F66" s="24" t="inlineStr">
        <is>
          <t>pantry_items.expiry_date üzerinden 3 gün kala uyarı; SKT girilmemişse ingredients.avg_shelf_life_days ile tahmin önerilir. flutter_local_notifications ile yerel bildirim planlanır; ana ekrana 'Yakında bozulacaklar' bölümü. NOT: Bu görev planın esnetme payıdır; süre sıkışırsa ilk feda edilecek maddedir.</t>
        </is>
      </c>
      <c r="G66" s="24" t="inlineStr">
        <is>
          <t>Yaklaşan SKT'li ürün için cihazda bildirim tetikleniyor.</t>
        </is>
      </c>
      <c r="H66" s="23" t="n">
        <v>2</v>
      </c>
      <c r="I66" s="23" t="inlineStr">
        <is>
          <t>Düşük</t>
        </is>
      </c>
      <c r="J66" s="23" t="inlineStr">
        <is>
          <t>W2-T07</t>
        </is>
      </c>
      <c r="K66" s="23" t="inlineStr">
        <is>
          <t>Yapılacak</t>
        </is>
      </c>
    </row>
    <row r="67" ht="41.8" customHeight="1">
      <c r="A67" s="25" t="inlineStr">
        <is>
          <t>Hafta 4</t>
        </is>
      </c>
      <c r="B67" s="25" t="inlineStr">
        <is>
          <t>Gün 18</t>
        </is>
      </c>
      <c r="C67" s="25" t="inlineStr">
        <is>
          <t>W4-T08</t>
        </is>
      </c>
      <c r="D67" s="26" t="inlineStr">
        <is>
          <t>Mobil / UX</t>
        </is>
      </c>
      <c r="E67" s="26" t="inlineStr">
        <is>
          <t>Boş Durum, Yükleniyor ve Hata Ekranlarının Tamamlanması</t>
        </is>
      </c>
      <c r="F67" s="26" t="inlineStr">
        <is>
          <t>Tüm listelerde shimmer ile skeleton loader, anlamlı EmptyState görselleri, 'yeniden dene' butonlu hata ekranları. Global SnackBar altyapısı ve connectivity_plus ile ağ kontrolü.</t>
        </is>
      </c>
      <c r="G67" s="26" t="inlineStr">
        <is>
          <t>İnternet kapalıyken hiçbir ekran boş/beyaz kalmıyor, kullanıcı bilgilendiriliyor.</t>
        </is>
      </c>
      <c r="H67" s="25" t="n">
        <v>2</v>
      </c>
      <c r="I67" s="25" t="inlineStr">
        <is>
          <t>Orta</t>
        </is>
      </c>
      <c r="J67" s="25" t="inlineStr">
        <is>
          <t>W4-T06</t>
        </is>
      </c>
      <c r="K67" s="25" t="inlineStr">
        <is>
          <t>Yapılacak</t>
        </is>
      </c>
    </row>
    <row r="68" ht="67" customHeight="1">
      <c r="A68" s="23" t="inlineStr">
        <is>
          <t>Hafta 4</t>
        </is>
      </c>
      <c r="B68" s="23" t="inlineStr">
        <is>
          <t>Gün 18-19</t>
        </is>
      </c>
      <c r="C68" s="23" t="inlineStr">
        <is>
          <t>W4-T09</t>
        </is>
      </c>
      <c r="D68" s="24" t="inlineStr">
        <is>
          <t>Test</t>
        </is>
      </c>
      <c r="E68" s="24" t="inlineStr">
        <is>
          <t>Backend Birim Testleri (pytest)</t>
        </is>
      </c>
      <c r="F68" s="24" t="inlineStr">
        <is>
          <t>Kritik servisler: BMR/TDEE, birim dönüşümü (g/kg/ml/adet + grams_per_piece + cooked_yield_factor), malzeme eşleştirme, eşik tetikleyici, stok düşümü, pantry_events delta tutarlılığı, günlük kalori toplamı, skorlama. pytest fixtures + ayrı test veritabanı; coverage raporu.</t>
        </is>
      </c>
      <c r="G68" s="24" t="inlineStr">
        <is>
          <t>Kritik servislerde satır kapsamı %60 üzerinde; tüm testler yeşil.</t>
        </is>
      </c>
      <c r="H68" s="23" t="n">
        <v>3</v>
      </c>
      <c r="I68" s="23" t="inlineStr">
        <is>
          <t>Yüksek</t>
        </is>
      </c>
      <c r="J68" s="23" t="inlineStr">
        <is>
          <t>W4-T03</t>
        </is>
      </c>
      <c r="K68" s="23" t="inlineStr">
        <is>
          <t>Yapılacak</t>
        </is>
      </c>
    </row>
    <row r="69" ht="54.4" customHeight="1">
      <c r="A69" s="25" t="inlineStr">
        <is>
          <t>Hafta 4</t>
        </is>
      </c>
      <c r="B69" s="25" t="inlineStr">
        <is>
          <t>Gün 19</t>
        </is>
      </c>
      <c r="C69" s="25" t="inlineStr">
        <is>
          <t>W4-T10</t>
        </is>
      </c>
      <c r="D69" s="26" t="inlineStr">
        <is>
          <t>Performans</t>
        </is>
      </c>
      <c r="E69" s="26" t="inlineStr">
        <is>
          <t>API Performans Optimizasyonu ve İndeksleme</t>
        </is>
      </c>
      <c r="F69" s="26" t="inlineStr">
        <is>
          <t>Middleware ile istek süreleri loglanır. SQLite index (user_id+ingredient_id, canonical_name, alias, barcode, user_id+logged_date), MongoDB compound index (diet_tags + calories_per_serving). N+1 sorgular joinedload ile giderilir; payload küçültülür.</t>
        </is>
      </c>
      <c r="G69" s="26" t="inlineStr">
        <is>
          <t>Ana listeleme endpoint'lerinde p95 yanıt süresi 500 ms altına indi.</t>
        </is>
      </c>
      <c r="H69" s="25" t="n">
        <v>2.5</v>
      </c>
      <c r="I69" s="25" t="inlineStr">
        <is>
          <t>Yüksek</t>
        </is>
      </c>
      <c r="J69" s="25" t="inlineStr">
        <is>
          <t>W4-T09</t>
        </is>
      </c>
      <c r="K69" s="25" t="inlineStr">
        <is>
          <t>Yapılacak</t>
        </is>
      </c>
    </row>
    <row r="70" ht="67" customHeight="1">
      <c r="A70" s="23" t="inlineStr">
        <is>
          <t>Hafta 4</t>
        </is>
      </c>
      <c r="B70" s="23" t="inlineStr">
        <is>
          <t>Gün 19</t>
        </is>
      </c>
      <c r="C70" s="23" t="inlineStr">
        <is>
          <t>W4-T11</t>
        </is>
      </c>
      <c r="D70" s="24" t="inlineStr">
        <is>
          <t>Test</t>
        </is>
      </c>
      <c r="E70" s="24" t="inlineStr">
        <is>
          <t>Uçtan Uca (E2E) Senaryo Testleri</t>
        </is>
      </c>
      <c r="F70" s="24" t="inlineStr">
        <is>
          <t>Üç ana senaryo gerçek cihazda (ödünç alınan Android telefon) koşulur: (A) Barkodla ürün ekleme, (B) Chatbot'tan kişiselleştirilmiş tarif önerisi, (C) Tarif kartı malzeme durumu + eksiklerin listeye düşmesi. Ek olarak kayıt -&gt; onboarding -&gt; ilk öneri akışı ve stok düşümü test edilir.</t>
        </is>
      </c>
      <c r="G70" s="24" t="inlineStr">
        <is>
          <t>Üç senaryo da hatasız tamamlandı ve adımlar ekran kaydıyla belgelendi.</t>
        </is>
      </c>
      <c r="H70" s="23" t="n">
        <v>3</v>
      </c>
      <c r="I70" s="23" t="inlineStr">
        <is>
          <t>Kritik</t>
        </is>
      </c>
      <c r="J70" s="23" t="inlineStr">
        <is>
          <t>W4-T06</t>
        </is>
      </c>
      <c r="K70" s="23" t="inlineStr">
        <is>
          <t>Yapılacak</t>
        </is>
      </c>
    </row>
    <row r="71" ht="41.8" customHeight="1">
      <c r="A71" s="25" t="inlineStr">
        <is>
          <t>Hafta 4</t>
        </is>
      </c>
      <c r="B71" s="25" t="inlineStr">
        <is>
          <t>Gün 19</t>
        </is>
      </c>
      <c r="C71" s="25" t="inlineStr">
        <is>
          <t>W4-T12</t>
        </is>
      </c>
      <c r="D71" s="26" t="inlineStr">
        <is>
          <t>Kalite</t>
        </is>
      </c>
      <c r="E71" s="26" t="inlineStr">
        <is>
          <t>Hata Ayıklama ve Dayanıklılık İyileştirmeleri</t>
        </is>
      </c>
      <c r="F71" s="26" t="inlineStr">
        <is>
          <t>Tüm async çağrılarda try/catch, Flutter ErrorWidget.builder ve runZonedGuarded, backend'de global exception handler. Race condition'lar giderilir; bulunan hatalar önceliklendirilip kapatılır.</t>
        </is>
      </c>
      <c r="G71" s="26" t="inlineStr">
        <is>
          <t>Kritik/major seviyede açık hata kalmadı; uygulama hiçbir akışta çökmüyor.</t>
        </is>
      </c>
      <c r="H71" s="25" t="n">
        <v>2</v>
      </c>
      <c r="I71" s="25" t="inlineStr">
        <is>
          <t>Kritik</t>
        </is>
      </c>
      <c r="J71" s="25" t="inlineStr">
        <is>
          <t>W4-T11</t>
        </is>
      </c>
      <c r="K71" s="25" t="inlineStr">
        <is>
          <t>Yapılacak</t>
        </is>
      </c>
    </row>
    <row r="72" ht="92.2" customHeight="1">
      <c r="A72" s="27" t="inlineStr">
        <is>
          <t>Hafta 4</t>
        </is>
      </c>
      <c r="B72" s="27" t="inlineStr">
        <is>
          <t>Gün 19</t>
        </is>
      </c>
      <c r="C72" s="27" t="inlineStr">
        <is>
          <t>W4-T12A</t>
        </is>
      </c>
      <c r="D72" s="28" t="inlineStr">
        <is>
          <t>Güvenlik / KVKK</t>
        </is>
      </c>
      <c r="E72" s="28" t="inlineStr">
        <is>
          <t>Veri Dışa Aktarma ve Hesap Silme</t>
        </is>
      </c>
      <c r="F72" s="28" t="inlineStr">
        <is>
          <t>GET /api/v1/me/export: kullanıcının tüm verisi (profil, diyet/alerjen tercihleri, kiler, kiler hareketleri, öğün kayıtları, kilo kayıtları, tarif geri bildirimleri, zevk vektörü, sohbetler) tek JSON olarak döner. DELETE /api/v1/me: şifre teyidi ister, ardından users satırını siler; ON DELETE CASCADE ile tüm ilişkili kayıtlar temizlenir. PRAGMA foreign_keys=ON aktif olduğu testle doğrulanır. Onboarding'e kısa aydınlatma metni ve rıza kutusu eklenir.</t>
        </is>
      </c>
      <c r="G72" s="28" t="inlineStr">
        <is>
          <t>Export JSON'u tüm tabloları içeriyor; hesap silindikten sonra ilgili user_id ile hiçbir tabloda kayıt kalmıyor.</t>
        </is>
      </c>
      <c r="H72" s="27" t="n">
        <v>1</v>
      </c>
      <c r="I72" s="27" t="inlineStr">
        <is>
          <t>Yüksek</t>
        </is>
      </c>
      <c r="J72" s="27" t="inlineStr">
        <is>
          <t>W4-T09</t>
        </is>
      </c>
      <c r="K72" s="27" t="inlineStr">
        <is>
          <t>Yapılacak</t>
        </is>
      </c>
    </row>
    <row r="73" ht="54.4" customHeight="1">
      <c r="A73" s="25" t="inlineStr">
        <is>
          <t>Hafta 4</t>
        </is>
      </c>
      <c r="B73" s="25" t="inlineStr">
        <is>
          <t>Gün 20</t>
        </is>
      </c>
      <c r="C73" s="25" t="inlineStr">
        <is>
          <t>W4-T13</t>
        </is>
      </c>
      <c r="D73" s="26" t="inlineStr">
        <is>
          <t>Dokümantasyon</t>
        </is>
      </c>
      <c r="E73" s="26" t="inlineStr">
        <is>
          <t>Mimari ve Veri Akış Diyagramları (Mermaid.js)</t>
        </is>
      </c>
      <c r="F73" s="26" t="inlineStr">
        <is>
          <t>Mermaid.js ile üç diyagram: (1) sistem mimarisi (Flutter &lt;-&gt; FastAPI &lt;-&gt; SQLite/MongoDB &lt;-&gt; Open Food Facts/Groq), (2) Senaryo A/B/C veri akış şemaları, (3) ER diyagramı. Mermaid Live Editor'dan PNG/SVG export edilip /docs ve README'ye eklenir.</t>
        </is>
      </c>
      <c r="G73" s="26" t="inlineStr">
        <is>
          <t>Üç diyagram da repoda ve sunumda kullanılabilir çözünürlükte.</t>
        </is>
      </c>
      <c r="H73" s="25" t="n">
        <v>2</v>
      </c>
      <c r="I73" s="25" t="inlineStr">
        <is>
          <t>Yüksek</t>
        </is>
      </c>
      <c r="J73" s="25" t="inlineStr">
        <is>
          <t>W4-T11</t>
        </is>
      </c>
      <c r="K73" s="25" t="inlineStr">
        <is>
          <t>Yapılacak</t>
        </is>
      </c>
    </row>
    <row r="74" ht="54.4" customHeight="1">
      <c r="A74" s="23" t="inlineStr">
        <is>
          <t>Hafta 4</t>
        </is>
      </c>
      <c r="B74" s="23" t="inlineStr">
        <is>
          <t>Gün 20</t>
        </is>
      </c>
      <c r="C74" s="23" t="inlineStr">
        <is>
          <t>W4-T14</t>
        </is>
      </c>
      <c r="D74" s="24" t="inlineStr">
        <is>
          <t>Dokümantasyon</t>
        </is>
      </c>
      <c r="E74" s="24" t="inlineStr">
        <is>
          <t>README ve API Dokümantasyonu</t>
        </is>
      </c>
      <c r="F74" s="24" t="inlineStr">
        <is>
          <t>README: proje tanıtımı, ekran görüntüleri, kurulum adımları (backend + Flutter), .env örneği, teknoloji yığını, mimari diyagram, yol haritası (V2/V3). OpenAPI şeması JSON olarak export edilip /docs'a konur. docs/decisions.md (ADR) güncellenir.</t>
        </is>
      </c>
      <c r="G74" s="24" t="inlineStr">
        <is>
          <t>Projeyi hiç bilmeyen biri yalnızca README ile projeyi ayağa kaldırabiliyor.</t>
        </is>
      </c>
      <c r="H74" s="23" t="n">
        <v>2</v>
      </c>
      <c r="I74" s="23" t="inlineStr">
        <is>
          <t>Yüksek</t>
        </is>
      </c>
      <c r="J74" s="23" t="inlineStr">
        <is>
          <t>W4-T13</t>
        </is>
      </c>
      <c r="K74" s="23" t="inlineStr">
        <is>
          <t>Yapılacak</t>
        </is>
      </c>
    </row>
    <row r="75" ht="79.59999999999999" customHeight="1">
      <c r="A75" s="25" t="inlineStr">
        <is>
          <t>Hafta 4</t>
        </is>
      </c>
      <c r="B75" s="25" t="inlineStr">
        <is>
          <t>Gün 20</t>
        </is>
      </c>
      <c r="C75" s="25" t="inlineStr">
        <is>
          <t>W4-T15</t>
        </is>
      </c>
      <c r="D75" s="26" t="inlineStr">
        <is>
          <t>Dağıtım</t>
        </is>
      </c>
      <c r="E75" s="26" t="inlineStr">
        <is>
          <t>Android Sürüm Derlemesi (APK)</t>
        </is>
      </c>
      <c r="F75" s="26" t="inlineStr">
        <is>
          <t>flutter build apk --release ile imzalı APK üretilir; uygulama ikonu (flutter_launcher_icons), splash screen, sürüm adı/kodu ayarlanır. Backend ücretsiz bir servise (Render / Railway free tier) deploy edilir ve uygulama --dart-define ile uzak sunucuya bağlanır. NOT: Geliştirme ortamı Windows olduğu için iOS (.ipa) derlemesi kapsam dışıdır; macOS + Xcode gerektirir ve V2'ye alınmıştır.</t>
        </is>
      </c>
      <c r="G75" s="26" t="inlineStr">
        <is>
          <t>İmzalı .apk gerçek cihaza kurulup çalışıyor ve uzak backend'e bağlanıyor.</t>
        </is>
      </c>
      <c r="H75" s="25" t="n">
        <v>2.5</v>
      </c>
      <c r="I75" s="25" t="inlineStr">
        <is>
          <t>Yüksek</t>
        </is>
      </c>
      <c r="J75" s="25" t="inlineStr">
        <is>
          <t>W4-T12</t>
        </is>
      </c>
      <c r="K75" s="25" t="inlineStr">
        <is>
          <t>Yapılacak</t>
        </is>
      </c>
    </row>
    <row r="76" ht="67" customHeight="1">
      <c r="A76" s="23" t="inlineStr">
        <is>
          <t>Hafta 4</t>
        </is>
      </c>
      <c r="B76" s="23" t="inlineStr">
        <is>
          <t>Gün 20</t>
        </is>
      </c>
      <c r="C76" s="23" t="inlineStr">
        <is>
          <t>W4-T16</t>
        </is>
      </c>
      <c r="D76" s="24" t="inlineStr">
        <is>
          <t>Sunum</t>
        </is>
      </c>
      <c r="E76" s="24" t="inlineStr">
        <is>
          <t>Staj Sunumu, Demo Videosu ve Defter Teslimi</t>
        </is>
      </c>
      <c r="F76" s="24" t="inlineStr">
        <is>
          <t>5-7 dakikalık demo videosu (Senaryo A/B/C), 10-12 slaytlık sunum (problem, rakip analizi, mimari, teknoloji seçimleri ve gerekçeleri, canlı demo, öğrenilenler, yol haritası), staj defterinin doldurulması. Sunumda vurgulanacak üç mühendislik kararı: olay günlüğü mimarisi, kendini iyileştiren sözlük, KVKK veri imhası.</t>
        </is>
      </c>
      <c r="G76" s="24" t="inlineStr">
        <is>
          <t>Sunum ve video teslim edildi; jüri sorularına hazır durumda.</t>
        </is>
      </c>
      <c r="H76" s="23" t="n">
        <v>3</v>
      </c>
      <c r="I76" s="23" t="inlineStr">
        <is>
          <t>Kritik</t>
        </is>
      </c>
      <c r="J76" s="23" t="inlineStr">
        <is>
          <t>W4-T15</t>
        </is>
      </c>
      <c r="K76" s="23" t="inlineStr">
        <is>
          <t>Yapılacak</t>
        </is>
      </c>
    </row>
    <row r="77" ht="41.8" customHeight="1">
      <c r="A77" s="25" t="inlineStr">
        <is>
          <t>Hafta 4</t>
        </is>
      </c>
      <c r="B77" s="25" t="inlineStr">
        <is>
          <t>Gün 20</t>
        </is>
      </c>
      <c r="C77" s="25" t="inlineStr">
        <is>
          <t>W4-T17</t>
        </is>
      </c>
      <c r="D77" s="26" t="inlineStr">
        <is>
          <t>Tampon</t>
        </is>
      </c>
      <c r="E77" s="26" t="inlineStr">
        <is>
          <t>Tampon Süre / Kritik Hata Payı</t>
        </is>
      </c>
      <c r="F77" s="26" t="inlineStr">
        <is>
          <t>Beklenmedik native build hataları, API kotası, cihaz uyumsuzluğu gibi riskler için ayrılan zaman payı. Kullanılmazsa V2 backlog'undan bir madde çekilir (öncelik: israf raporu ekranı).</t>
        </is>
      </c>
      <c r="G77" s="26" t="inlineStr">
        <is>
          <t>Plan sapması yaşanmadan teslim tamamlandı.</t>
        </is>
      </c>
      <c r="H77" s="25" t="n">
        <v>2</v>
      </c>
      <c r="I77" s="25" t="inlineStr">
        <is>
          <t>Orta</t>
        </is>
      </c>
      <c r="J77" s="25" t="inlineStr">
        <is>
          <t>-</t>
        </is>
      </c>
      <c r="K77" s="25" t="inlineStr">
        <is>
          <t>Yapılacak</t>
        </is>
      </c>
    </row>
    <row r="78" ht="20" customHeight="1">
      <c r="A78" s="29" t="inlineStr">
        <is>
          <t>TOPLAM</t>
        </is>
      </c>
      <c r="B78" s="30" t="n"/>
      <c r="C78" s="30" t="n"/>
      <c r="D78" s="30" t="n"/>
      <c r="E78" s="30" t="n"/>
      <c r="F78" s="30" t="n"/>
      <c r="G78" s="30" t="n"/>
      <c r="H78" s="31">
        <f>SUM(H4:H77)</f>
        <v/>
      </c>
      <c r="I78" s="31">
        <f>COUNTA(C4:C77)&amp;" görev"</f>
        <v/>
      </c>
      <c r="J78" s="30" t="n"/>
      <c r="K78" s="30" t="n"/>
    </row>
    <row r="80" ht="26" customHeight="1">
      <c r="A80" s="32" t="inlineStr">
        <is>
          <t>KAPASITE: 20 is gunu x 8 saat = 160 saat. Plan toplami 166.5 saat, yani 6.5 saat fazla. Sikisma olursa feda edilecek maddeler SIRASIYLA: W4-T07 SKT bildirimi (Dusuk, 2 saat), W4-T17 tampon (Orta, 2 saat), W3-T16 algoritma olcumu (Orta, 2 saat). Ucu de cikarilirsa plan 160.5 saate iner.</t>
        </is>
      </c>
    </row>
    <row r="81" ht="26" customHeight="1">
      <c r="A81" s="32" t="inlineStr">
        <is>
          <t>v2 DEGISIKLIKLERI: (1) Mobil yigin React Native -&gt; Flutter. (2) Hedef platform yalnizca Android; iOS V2'ye alindi. (3) Uc yeni gorev eklendi: W2-T02A pantry_events, W3-T02A unmatched_ingredients, W4-T12A KVKK veri imhasi. (4) Veritabani semasi 8 -&gt; 21 tablo. (5) Flutter'in yerlesik bilesenleri sayesinde W1-T15, W2-T07, W2-T08, W2-T09, W2-T10 sureleri toplam 3 saat kisaldi.</t>
        </is>
      </c>
    </row>
    <row r="82" ht="14" customHeight="1">
      <c r="A82" s="32" t="inlineStr">
        <is>
          <t>ELLE DOLDURULACAK TEK ALAN: K sutunu (Durum). Acilir listeden secim yapin; ornek: K4 -&gt; 'Tamamlandi'. Ozet Dashboard otomatik guncellenir.</t>
        </is>
      </c>
    </row>
  </sheetData>
  <autoFilter ref="A3:K77"/>
  <mergeCells count="6">
    <mergeCell ref="A82:K82"/>
    <mergeCell ref="A81:K81"/>
    <mergeCell ref="A2:K2"/>
    <mergeCell ref="A78:G78"/>
    <mergeCell ref="A80:K80"/>
    <mergeCell ref="A1:K1"/>
  </mergeCells>
  <conditionalFormatting sqref="I4:I77">
    <cfRule type="cellIs" priority="1" operator="equal" dxfId="0">
      <formula>"Kritik"</formula>
    </cfRule>
    <cfRule type="cellIs" priority="2" operator="equal" dxfId="1">
      <formula>"Yüksek"</formula>
    </cfRule>
  </conditionalFormatting>
  <conditionalFormatting sqref="K4:K77">
    <cfRule type="cellIs" priority="3" operator="equal" dxfId="2">
      <formula>"Tamamlandı"</formula>
    </cfRule>
    <cfRule type="cellIs" priority="4" operator="equal" dxfId="3">
      <formula>"Bloke"</formula>
    </cfRule>
    <cfRule type="cellIs" priority="5" operator="equal" dxfId="4">
      <formula>"Devam Ediyor"</formula>
    </cfRule>
  </conditionalFormatting>
  <dataValidations count="1">
    <dataValidation sqref="K4:K77" showDropDown="0" showInputMessage="0" showErrorMessage="0" allowBlank="1" error="Lütfen listeden bir durum seçin." promptTitle="Durum" prompt="Yapılacak / Devam Ediyor / Tamamlandı / Bloke" type="list">
      <formula1>"Yapılacak,Devam Ediyor,Tamamlandı,Bloke"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7030A0"/>
    <outlinePr summaryBelow="1" summaryRight="1"/>
    <pageSetUpPr/>
  </sheetPr>
  <dimension ref="A1:H20"/>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8" customWidth="1" min="3" max="3"/>
    <col width="32" customWidth="1" min="4" max="4"/>
    <col width="44" customWidth="1" min="5" max="5"/>
    <col width="56" customWidth="1" min="6" max="6"/>
    <col width="14" customWidth="1" min="7" max="7"/>
    <col width="24" customWidth="1" min="8" max="8"/>
  </cols>
  <sheetData>
    <row r="1" ht="30" customHeight="1">
      <c r="A1" s="1" t="inlineStr">
        <is>
          <t>KAPSAM DISI OZELLIKLER  |  V2 ve V3 YOL HARITASI</t>
        </is>
      </c>
    </row>
    <row r="2" ht="22" customHeight="1">
      <c r="A2" s="2" t="inlineStr">
        <is>
          <t>MVP'den bilincli olarak cikarilan maddeler. Her biri neden ertelendigi, nasil yapilacagi ve maliyetiyle birlikte.</t>
        </is>
      </c>
    </row>
    <row r="3" ht="32" customHeight="1">
      <c r="A3" s="7" t="inlineStr">
        <is>
          <t>Sürüm</t>
        </is>
      </c>
      <c r="B3" s="7" t="inlineStr">
        <is>
          <t>Öncelik</t>
        </is>
      </c>
      <c r="C3" s="7" t="inlineStr">
        <is>
          <t>Modül</t>
        </is>
      </c>
      <c r="D3" s="7" t="inlineStr">
        <is>
          <t>Özellik</t>
        </is>
      </c>
      <c r="E3" s="7" t="inlineStr">
        <is>
          <t>Neden MVP'de Değil?</t>
        </is>
      </c>
      <c r="F3" s="7" t="inlineStr">
        <is>
          <t>Nasıl Yapılacak / Teknoloji</t>
        </is>
      </c>
      <c r="G3" s="7" t="inlineStr">
        <is>
          <t>Tahmini Süre</t>
        </is>
      </c>
      <c r="H3" s="7" t="inlineStr">
        <is>
          <t>Maliyet Etkisi</t>
        </is>
      </c>
    </row>
    <row r="4" ht="54.4" customHeight="1">
      <c r="A4" s="23" t="inlineStr">
        <is>
          <t>V2</t>
        </is>
      </c>
      <c r="B4" s="23" t="inlineStr">
        <is>
          <t>Çok Yüksek</t>
        </is>
      </c>
      <c r="C4" s="24" t="inlineStr">
        <is>
          <t>Raporlama</t>
        </is>
      </c>
      <c r="D4" s="24" t="inlineStr">
        <is>
          <t>Gıda İsrafı ve Tasarruf Raporu</t>
        </is>
      </c>
      <c r="E4" s="24" t="inlineStr">
        <is>
          <t>MVP'de veri toplama altyapısı (pantry_events) kuruldu; raporlama ekranı zaman almasın diye ertelendi.</t>
        </is>
      </c>
      <c r="F4" s="24" t="inlineStr">
        <is>
          <t>pantry_events tablosundaki bozuldu_atildi olayları ingredients.avg_price_per_100g ile çarpılarak aylık israf raporu üretilir: 'Bu ay 1.2 kg gıda, ~340 TL israf ettin'. Grafik + haftalık karşılaştırma.</t>
        </is>
      </c>
      <c r="G4" s="23" t="inlineStr">
        <is>
          <t>1 hafta</t>
        </is>
      </c>
      <c r="H4" s="24" t="inlineStr">
        <is>
          <t>0 $ - veri zaten toplanıyor</t>
        </is>
      </c>
    </row>
    <row r="5" ht="67" customHeight="1">
      <c r="A5" s="25" t="inlineStr">
        <is>
          <t>V2</t>
        </is>
      </c>
      <c r="B5" s="25" t="inlineStr">
        <is>
          <t>Çok Yüksek</t>
        </is>
      </c>
      <c r="C5" s="26" t="inlineStr">
        <is>
          <t>Kiler</t>
        </is>
      </c>
      <c r="D5" s="26" t="inlineStr">
        <is>
          <t>Öngörülü Alışveriş Listesi (Tüketim Hızı)</t>
        </is>
      </c>
      <c r="E5" s="26" t="inlineStr">
        <is>
          <t>Anlamlı sonuç için en az 2-3 haftalık kullanım verisi birikmesi gerekiyor.</t>
        </is>
      </c>
      <c r="F5" s="26" t="inlineStr">
        <is>
          <t>Son 30 günün tuketildi_* olaylarından malzeme bazlı günlük tüketim hızı hesaplanır; 'haftada ~200 g mercimek tüketiyorsun, 5 gün sonra bitecek' tahmini üretilir ve ürün BİTMEDEN listeye eklenir (source='ongoru'). Rakiplerin hiçbirinde yok.</t>
        </is>
      </c>
      <c r="G5" s="25" t="inlineStr">
        <is>
          <t>1 hafta</t>
        </is>
      </c>
      <c r="H5" s="26" t="inlineStr">
        <is>
          <t>0 $</t>
        </is>
      </c>
    </row>
    <row r="6" ht="54.4" customHeight="1">
      <c r="A6" s="23" t="inlineStr">
        <is>
          <t>V2</t>
        </is>
      </c>
      <c r="B6" s="23" t="inlineStr">
        <is>
          <t>Yüksek</t>
        </is>
      </c>
      <c r="C6" s="24" t="inlineStr">
        <is>
          <t>AI</t>
        </is>
      </c>
      <c r="D6" s="24" t="inlineStr">
        <is>
          <t>Haftalık Beslenme Özeti (AI Koç)</t>
        </is>
      </c>
      <c r="E6" s="24" t="inlineStr">
        <is>
          <t>LLM altyapısı W3'te kuruluyor; özet katmanı MVP kapsamını şişirirdi.</t>
        </is>
      </c>
      <c r="F6" s="24" t="inlineStr">
        <is>
          <t>meal_logs + pantry_events + weight_logs verisi haftalık olarak özetlenip LLM'e verilir: 'Bu hafta protein hedefinin %70'indesin, akşam öğünlerin geç' gibi kişisel geri bildirim. weekly_reports tablosu eklenir.</t>
        </is>
      </c>
      <c r="G6" s="23" t="inlineStr">
        <is>
          <t>1-2 hafta</t>
        </is>
      </c>
      <c r="H6" s="24" t="inlineStr">
        <is>
          <t>LLM: ~1-2 $/ay (önbellekli)</t>
        </is>
      </c>
    </row>
    <row r="7" ht="54.4" customHeight="1">
      <c r="A7" s="25" t="inlineStr">
        <is>
          <t>V2</t>
        </is>
      </c>
      <c r="B7" s="25" t="inlineStr">
        <is>
          <t>Yüksek</t>
        </is>
      </c>
      <c r="C7" s="26" t="inlineStr">
        <is>
          <t>Kullanıcı</t>
        </is>
      </c>
      <c r="D7" s="26" t="inlineStr">
        <is>
          <t>Hane Paylaşımı (Ortak Kiler)</t>
        </is>
      </c>
      <c r="E7" s="26" t="inlineStr">
        <is>
          <t>Kiler gerçekte evsel bir kaynak ama tek kullanıcılık model 20 günlük planı basitleştiriyor. Geçiş maliyeti düşük olduğu için bilinçli ertelendi.</t>
        </is>
      </c>
      <c r="F7" s="26" t="inlineStr">
        <is>
          <t>households + household_members tabloları eklenir; pantry_items ve shopping_list_items'a household_id sütunu açılır; her mevcut kullanıcı için tek kişilik hane oluşturulup geriye dönük doldurulur. Tek migration.</t>
        </is>
      </c>
      <c r="G7" s="25" t="inlineStr">
        <is>
          <t>4-5 gün</t>
        </is>
      </c>
      <c r="H7" s="26" t="inlineStr">
        <is>
          <t>0 $</t>
        </is>
      </c>
    </row>
    <row r="8" ht="54.4" customHeight="1">
      <c r="A8" s="23" t="inlineStr">
        <is>
          <t>V2</t>
        </is>
      </c>
      <c r="B8" s="23" t="inlineStr">
        <is>
          <t>Yüksek</t>
        </is>
      </c>
      <c r="C8" s="24" t="inlineStr">
        <is>
          <t>Kiler</t>
        </is>
      </c>
      <c r="D8" s="24" t="inlineStr">
        <is>
          <t>Gelişmiş SKT Takibi ve Parti (Batch) Yönetimi</t>
        </is>
      </c>
      <c r="E8" s="24" t="inlineStr">
        <is>
          <t>MVP'de kullanıcı başına malzeme başına tek satır tutuluyor; farklı SKT'li partiler birleşiyor.</t>
        </is>
      </c>
      <c r="F8" s="24" t="inlineStr">
        <is>
          <t>pantry_batches tablosu eklenir; aynı malzemenin farklı tarihli alımları ayrı satırda tutulur, tüketimde FIFO (ilk giren ilk çıkar) uygulanır. SKT bildirimi parti bazında çalışır.</t>
        </is>
      </c>
      <c r="G8" s="23" t="inlineStr">
        <is>
          <t>1 hafta</t>
        </is>
      </c>
      <c r="H8" s="24" t="inlineStr">
        <is>
          <t>0 $</t>
        </is>
      </c>
    </row>
    <row r="9" ht="41.8" customHeight="1">
      <c r="A9" s="25" t="inlineStr">
        <is>
          <t>V2</t>
        </is>
      </c>
      <c r="B9" s="25" t="inlineStr">
        <is>
          <t>Orta</t>
        </is>
      </c>
      <c r="C9" s="26" t="inlineStr">
        <is>
          <t>AI</t>
        </is>
      </c>
      <c r="D9" s="26" t="inlineStr">
        <is>
          <t>Haftalık Otomatik Yemek Planı</t>
        </is>
      </c>
      <c r="E9" s="26" t="inlineStr">
        <is>
          <t>Öneri motorunun tekil tarif seviyesinde doğrulanması önce gelir.</t>
        </is>
      </c>
      <c r="F9" s="26" t="inlineStr">
        <is>
          <t>Kalori hedefi, kiler ve tercihler baz alınarak 7 günlük menü üretilir; eksik malzemeler tek seferde alışveriş listesine dökülür. meal_plans + meal_plan_items tabloları.</t>
        </is>
      </c>
      <c r="G9" s="25" t="inlineStr">
        <is>
          <t>1-2 hafta</t>
        </is>
      </c>
      <c r="H9" s="26" t="inlineStr">
        <is>
          <t>LLM: ~1-3 $/ay</t>
        </is>
      </c>
    </row>
    <row r="10" ht="41.8" customHeight="1">
      <c r="A10" s="23" t="inlineStr">
        <is>
          <t>V2</t>
        </is>
      </c>
      <c r="B10" s="23" t="inlineStr">
        <is>
          <t>Orta</t>
        </is>
      </c>
      <c r="C10" s="24" t="inlineStr">
        <is>
          <t>Oyunlaştırma</t>
        </is>
      </c>
      <c r="D10" s="24" t="inlineStr">
        <is>
          <t>Tasarruf Rozetleri ve Seri (Streak)</t>
        </is>
      </c>
      <c r="E10" s="24" t="inlineStr">
        <is>
          <t>Çekirdek döngünün tuttuğu doğrulanmadan elde tutma özelliği eklemek erken.</t>
        </is>
      </c>
      <c r="F10" s="24" t="inlineStr">
        <is>
          <t>İsraf oranı, kiler kullanım oranı ve günlük kayıt serisinden rozetler; paylaşılabilir haftalık özet kartı. user_achievements + user_streaks tabloları.</t>
        </is>
      </c>
      <c r="G10" s="23" t="inlineStr">
        <is>
          <t>1 hafta</t>
        </is>
      </c>
      <c r="H10" s="24" t="inlineStr">
        <is>
          <t>0 $</t>
        </is>
      </c>
    </row>
    <row r="11" ht="41.8" customHeight="1">
      <c r="A11" s="25" t="inlineStr">
        <is>
          <t>V2</t>
        </is>
      </c>
      <c r="B11" s="25" t="inlineStr">
        <is>
          <t>Orta</t>
        </is>
      </c>
      <c r="C11" s="26" t="inlineStr">
        <is>
          <t>Kalori</t>
        </is>
      </c>
      <c r="D11" s="26" t="inlineStr">
        <is>
          <t>Su Takibi + Adım/Egzersiz Entegrasyonu</t>
        </is>
      </c>
      <c r="E11" s="26" t="inlineStr">
        <is>
          <t>Kalori dengesinin ikinci yarısı; MVP'de alım tarafına odaklanıldı.</t>
        </is>
      </c>
      <c r="F11" s="26" t="inlineStr">
        <is>
          <t>Health Connect (Android) ile adım ve yakılan kalori okunur, günlük hedefe eklenir. Su takibi basit sayaç widget'ı. water_logs + activity_logs tabloları.</t>
        </is>
      </c>
      <c r="G11" s="25" t="inlineStr">
        <is>
          <t>1 hafta</t>
        </is>
      </c>
      <c r="H11" s="26" t="inlineStr">
        <is>
          <t>0 $</t>
        </is>
      </c>
    </row>
    <row r="12" ht="41.8" customHeight="1">
      <c r="A12" s="23" t="inlineStr">
        <is>
          <t>V2</t>
        </is>
      </c>
      <c r="B12" s="23" t="inlineStr">
        <is>
          <t>Yüksek</t>
        </is>
      </c>
      <c r="C12" s="24" t="inlineStr">
        <is>
          <t>Altyapı</t>
        </is>
      </c>
      <c r="D12" s="24" t="inlineStr">
        <is>
          <t>Çevrimdışı (Offline-First) Mod</t>
        </is>
      </c>
      <c r="E12" s="24" t="inlineStr">
        <is>
          <t>MVP'de internet varsayımıyla ilerlemek geliştirme hızını iki katına çıkarır. Ama mutfakta bağlantı zayıf olur.</t>
        </is>
      </c>
      <c r="F12" s="24" t="inlineStr">
        <is>
          <t>Cihazda drift/sqflite yerel kopya, değişikliklerin kuyruğa alınması ve bağlantı gelince çakışma çözümlemeli (son yazan kazanır + versiyon) senkronizasyon.</t>
        </is>
      </c>
      <c r="G12" s="23" t="inlineStr">
        <is>
          <t>2 hafta</t>
        </is>
      </c>
      <c r="H12" s="24" t="inlineStr">
        <is>
          <t>0 $</t>
        </is>
      </c>
    </row>
    <row r="13" ht="54.4" customHeight="1">
      <c r="A13" s="25" t="inlineStr">
        <is>
          <t>V2</t>
        </is>
      </c>
      <c r="B13" s="25" t="inlineStr">
        <is>
          <t>Orta</t>
        </is>
      </c>
      <c r="C13" s="26" t="inlineStr">
        <is>
          <t>Platform</t>
        </is>
      </c>
      <c r="D13" s="26" t="inlineStr">
        <is>
          <t>iOS Sürümü ve Mağaza Yayını</t>
        </is>
      </c>
      <c r="E13" s="26" t="inlineStr">
        <is>
          <t>Geliştirme ortamı Windows; iOS derlemesi macOS + Xcode gerektiriyor. Staj teslimi için .apk yeterli.</t>
        </is>
      </c>
      <c r="F13" s="26" t="inlineStr">
        <is>
          <t>Mac erişimi veya Codemagic/GitHub Actions macOS runner ile bulut derleme. Ardından geliştirici hesapları, gizlilik politikası, veri güvenliği formu, ekran görüntüleri, TestFlight ve inceleme süreci.</t>
        </is>
      </c>
      <c r="G13" s="25" t="inlineStr">
        <is>
          <t>1-2 hafta</t>
        </is>
      </c>
      <c r="H13" s="26" t="inlineStr">
        <is>
          <t>Apple 99 $/yıl + Google 25 $ tek seferlik</t>
        </is>
      </c>
    </row>
    <row r="14" ht="54.4" customHeight="1">
      <c r="A14" s="23" t="inlineStr">
        <is>
          <t>V2</t>
        </is>
      </c>
      <c r="B14" s="23" t="inlineStr">
        <is>
          <t>Orta</t>
        </is>
      </c>
      <c r="C14" s="24" t="inlineStr">
        <is>
          <t>AI</t>
        </is>
      </c>
      <c r="D14" s="24" t="inlineStr">
        <is>
          <t>Semantik Arama (Embedding / Vektör Veritabanı)</t>
        </is>
      </c>
      <c r="E14" s="24" t="inlineStr">
        <is>
          <t>MVP'de üç aşamalı eşleştirme (canonical + alias + rapidfuzz) yeterli doğruluğu veriyor.</t>
        </is>
      </c>
      <c r="F14" s="24" t="inlineStr">
        <is>
          <t>Tarif ve malzeme metinleri embedding'e çevrilir (sentence-transformers), Chroma / pgvector'da saklanır. 'Anneannemin yaptığı gibi bir şey' türü bulanık sorgular desteklenir.</t>
        </is>
      </c>
      <c r="G14" s="23" t="inlineStr">
        <is>
          <t>1-2 hafta</t>
        </is>
      </c>
      <c r="H14" s="24" t="inlineStr">
        <is>
          <t>Açık kaynak model: 0 $</t>
        </is>
      </c>
    </row>
    <row r="15" ht="54.4" customHeight="1">
      <c r="A15" s="25" t="inlineStr">
        <is>
          <t>V2</t>
        </is>
      </c>
      <c r="B15" s="25" t="inlineStr">
        <is>
          <t>Düşük</t>
        </is>
      </c>
      <c r="C15" s="26" t="inlineStr">
        <is>
          <t>Ticari</t>
        </is>
      </c>
      <c r="D15" s="26" t="inlineStr">
        <is>
          <t>Mevsim Bilinci ve Fiyat Takibi</t>
        </is>
      </c>
      <c r="E15" s="26" t="inlineStr">
        <is>
          <t>Fiyat verisi sürekli güncellik ister, MVP kapsamında sürdürülemez.</t>
        </is>
      </c>
      <c r="F15" s="26" t="inlineStr">
        <is>
          <t>ingredients.season_months ve avg_price_per_100g sütunları MVP'de zaten açıldı. 'Domates şu an mevsiminde, ucuz ve lezzetli' önerisi ve alışveriş listesinin tahmini maliyeti gösterilir.</t>
        </is>
      </c>
      <c r="G15" s="25" t="inlineStr">
        <is>
          <t>1 hafta</t>
        </is>
      </c>
      <c r="H15" s="26" t="inlineStr">
        <is>
          <t>Değişken</t>
        </is>
      </c>
    </row>
    <row r="16" ht="79.59999999999999" customHeight="1">
      <c r="A16" s="23" t="inlineStr">
        <is>
          <t>V3</t>
        </is>
      </c>
      <c r="B16" s="23" t="inlineStr">
        <is>
          <t>Yüksek</t>
        </is>
      </c>
      <c r="C16" s="24" t="inlineStr">
        <is>
          <t>OCR / NLP</t>
        </is>
      </c>
      <c r="D16" s="24" t="inlineStr">
        <is>
          <t>Fişten Ürün Okuma ve Otomatik Kiler Kaydı</t>
        </is>
      </c>
      <c r="E16" s="24" t="inlineStr">
        <is>
          <t>Bu iş sadece kodlama değil, veri temizleme + NLP sürecidir; tek başına 20 günlük stajın en az 10 gününü yutar.</t>
        </is>
      </c>
      <c r="F16" s="24" t="inlineStr">
        <is>
          <t>Google ML Kit Text Recognition (cihazda, ücretsiz) ile fiş metne çevrilir. Satır bazlı RegEx + küçük bir LLM ile ürün/gramaj/fiyat ayrıştırılır ('MGRS KRMZ MRCMK %8' -&gt; Kırmızı Mercimek 1 kg). Sonuç kullanıcı onayına sunulup kilere yazılır. ingredient_aliases ve unmatched_ingredients altyapısı MVP'de hazırlandı.</t>
        </is>
      </c>
      <c r="G16" s="23" t="inlineStr">
        <is>
          <t>3-4 hafta</t>
        </is>
      </c>
      <c r="H16" s="24" t="inlineStr">
        <is>
          <t>Cihaz üstü: 0 $ | Google Vision: ~1.5 $/1000 istek</t>
        </is>
      </c>
    </row>
    <row r="17" ht="54.4" customHeight="1">
      <c r="A17" s="25" t="inlineStr">
        <is>
          <t>V3</t>
        </is>
      </c>
      <c r="B17" s="25" t="inlineStr">
        <is>
          <t>Yüksek</t>
        </is>
      </c>
      <c r="C17" s="26" t="inlineStr">
        <is>
          <t>OCR / Veri</t>
        </is>
      </c>
      <c r="D17" s="26" t="inlineStr">
        <is>
          <t>Türk Market Kısaltma Sözlüğü</t>
        </is>
      </c>
      <c r="E17" s="26" t="inlineStr">
        <is>
          <t>OCR doğruluğu sözlük olmadan %50'nin altında kalır; sözlük ancak gerçek fiş verisi toplandıktan sonra anlamlı olur.</t>
        </is>
      </c>
      <c r="F17" s="26" t="inlineStr">
        <is>
          <t>Migros, A101, BİM, ŞOK, CarrefourSA fişlerinden 500+ satır toplanır; kısaltmalar ingredient_aliases'a source='fis_ocr' ile eklenir. Kullanıcıya 'düzelt ve onayla' ekranı gösterilir, her düzeltme sözlüğe geri beslenir.</t>
        </is>
      </c>
      <c r="G17" s="25" t="inlineStr">
        <is>
          <t>1-2 hafta</t>
        </is>
      </c>
      <c r="H17" s="26" t="inlineStr">
        <is>
          <t>0 $</t>
        </is>
      </c>
    </row>
    <row r="18" ht="41.8" customHeight="1">
      <c r="A18" s="23" t="inlineStr">
        <is>
          <t>V3</t>
        </is>
      </c>
      <c r="B18" s="23" t="inlineStr">
        <is>
          <t>Düşük</t>
        </is>
      </c>
      <c r="C18" s="24" t="inlineStr">
        <is>
          <t>Görüntü İşleme</t>
        </is>
      </c>
      <c r="D18" s="24" t="inlineStr">
        <is>
          <t>Kameradan Görsel Obje Tanıma</t>
        </is>
      </c>
      <c r="E18" s="24" t="inlineStr">
        <is>
          <t>Barkodsuz bir domatesi tanıyıp gramajını tahmin etmek teknik olarak çok zordur ve kullanıcıyı yanıltır.</t>
        </is>
      </c>
      <c r="F18" s="24" t="inlineStr">
        <is>
          <t>YOLOv8 / EfficientNet ile özel model eğitimi; veri toplama + etiketleme (Roboflow), bulutta GPU eğitimi, TensorFlow Lite'a dönüştürüp cihazda çalıştırma.</t>
        </is>
      </c>
      <c r="G18" s="23" t="inlineStr">
        <is>
          <t>4-8 hafta</t>
        </is>
      </c>
      <c r="H18" s="24" t="inlineStr">
        <is>
          <t>GPU eğitimi: 100-500 $ (tek seferlik)</t>
        </is>
      </c>
    </row>
    <row r="19" ht="41.8" customHeight="1">
      <c r="A19" s="25" t="inlineStr">
        <is>
          <t>V3</t>
        </is>
      </c>
      <c r="B19" s="25" t="inlineStr">
        <is>
          <t>Düşük</t>
        </is>
      </c>
      <c r="C19" s="26" t="inlineStr">
        <is>
          <t>Sosyal</t>
        </is>
      </c>
      <c r="D19" s="26" t="inlineStr">
        <is>
          <t>Uygulama İçi Tarif Paylaşımı</t>
        </is>
      </c>
      <c r="E19" s="26" t="inlineStr">
        <is>
          <t>İlk etapta gereksiz veri yükü ve moderasyon maliyeti yaratır.</t>
        </is>
      </c>
      <c r="F19" s="26" t="inlineStr">
        <is>
          <t>Kullanıcı tarifleri, beğeni/yorum, moderasyon kuyruğu, spam ve telif kontrolü. Belirli bir aktif kullanıcı kütlesinden sonra anlamlı.</t>
        </is>
      </c>
      <c r="G19" s="25" t="inlineStr">
        <is>
          <t>3-4 hafta</t>
        </is>
      </c>
      <c r="H19" s="26" t="inlineStr">
        <is>
          <t>Depolama + moderasyon</t>
        </is>
      </c>
    </row>
    <row r="20" ht="29.2" customHeight="1">
      <c r="A20" s="23" t="inlineStr">
        <is>
          <t>V3</t>
        </is>
      </c>
      <c r="B20" s="23" t="inlineStr">
        <is>
          <t>Düşük</t>
        </is>
      </c>
      <c r="C20" s="24" t="inlineStr">
        <is>
          <t>Ticari</t>
        </is>
      </c>
      <c r="D20" s="24" t="inlineStr">
        <is>
          <t>Online Market Entegrasyonu</t>
        </is>
      </c>
      <c r="E20" s="24" t="inlineStr">
        <is>
          <t>Yazılım işi değil, iş geliştirme işi. Anlaşma gerektirir.</t>
        </is>
      </c>
      <c r="F20" s="24" t="inlineStr">
        <is>
          <t>Alışveriş listesi doğrudan online markete gönderilir. Ticari olarak en değerli özellik (komisyon modeli).</t>
        </is>
      </c>
      <c r="G20" s="23" t="inlineStr">
        <is>
          <t>Belirsiz</t>
        </is>
      </c>
      <c r="H20" s="24" t="inlineStr">
        <is>
          <t>Anlaşmaya bağlı</t>
        </is>
      </c>
    </row>
  </sheetData>
  <autoFilter ref="A3:H20"/>
  <mergeCells count="2">
    <mergeCell ref="A2:H2"/>
    <mergeCell ref="A1:H1"/>
  </mergeCell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G25"/>
  <sheetViews>
    <sheetView showGridLines="0" workbookViewId="0">
      <selection activeCell="A1" sqref="A1"/>
    </sheetView>
  </sheetViews>
  <sheetFormatPr baseColWidth="8" defaultRowHeight="15"/>
  <cols>
    <col width="30" customWidth="1" min="1" max="1"/>
    <col width="38" customWidth="1" min="2" max="2"/>
    <col width="18" customWidth="1" min="3" max="3"/>
    <col width="46" customWidth="1" min="4" max="4"/>
    <col width="16" customWidth="1" min="5" max="5"/>
    <col width="16" customWidth="1" min="6" max="6"/>
    <col width="18" customWidth="1" min="7" max="7"/>
  </cols>
  <sheetData>
    <row r="1" ht="30" customHeight="1">
      <c r="A1" s="1" t="inlineStr">
        <is>
          <t>MALIYET ANALIZI VE TASARRUF STRATEJILERI</t>
        </is>
      </c>
    </row>
    <row r="2" ht="22" customHeight="1">
      <c r="A2" s="2" t="inlineStr">
        <is>
          <t>Iki senaryo: (1) hazir bulut servisleriyle optimize EDILMEMIS kurulum, (2) acik kaynak + ucretsiz katman ile OPTIMIZE kurulum.</t>
        </is>
      </c>
    </row>
    <row r="3" ht="32" customHeight="1">
      <c r="A3" s="7" t="inlineStr">
        <is>
          <t>Maliyet Kalemi</t>
        </is>
      </c>
      <c r="B3" s="7" t="inlineStr">
        <is>
          <t>Açıklama</t>
        </is>
      </c>
      <c r="C3" s="7" t="inlineStr">
        <is>
          <t>Optimize Edilmemiş Aylık ($)</t>
        </is>
      </c>
      <c r="D3" s="7" t="inlineStr">
        <is>
          <t>Ucuza Çözüm / Alternatif</t>
        </is>
      </c>
      <c r="E3" s="7" t="inlineStr">
        <is>
          <t>Optimize Aylık ($)</t>
        </is>
      </c>
      <c r="F3" s="7" t="inlineStr">
        <is>
          <t>Yıllık Tasarruf ($)</t>
        </is>
      </c>
      <c r="G3" s="7" t="inlineStr">
        <is>
          <t>Staj MVP'sinde Gerekli mi?</t>
        </is>
      </c>
    </row>
    <row r="4" ht="29.2" customHeight="1">
      <c r="A4" s="24" t="inlineStr">
        <is>
          <t>Sunucu / Backend Barındırma</t>
        </is>
      </c>
      <c r="B4" s="24" t="inlineStr">
        <is>
          <t>FastAPI uygulamasının çalıştığı VPS veya PaaS</t>
        </is>
      </c>
      <c r="C4" s="33" t="n">
        <v>12</v>
      </c>
      <c r="D4" s="24" t="inlineStr">
        <is>
          <t>Render / Railway / Fly.io ücretsiz katmanı; ya da Supabase (BaaS)</t>
        </is>
      </c>
      <c r="E4" s="33" t="n">
        <v>0</v>
      </c>
      <c r="F4" s="33">
        <f>(C4-E4)*12</f>
        <v/>
      </c>
      <c r="G4" s="23" t="inlineStr">
        <is>
          <t>Evet</t>
        </is>
      </c>
    </row>
    <row r="5" ht="29.2" customHeight="1">
      <c r="A5" s="26" t="inlineStr">
        <is>
          <t>Yönetilen Veritabanı</t>
        </is>
      </c>
      <c r="B5" s="26" t="inlineStr">
        <is>
          <t>PostgreSQL / MongoDB barındırma</t>
        </is>
      </c>
      <c r="C5" s="34" t="n">
        <v>15</v>
      </c>
      <c r="D5" s="26" t="inlineStr">
        <is>
          <t>MongoDB Atlas M0 (ücretsiz, 512 MB) + SQLite dosya veritabanı</t>
        </is>
      </c>
      <c r="E5" s="34" t="n">
        <v>0</v>
      </c>
      <c r="F5" s="34">
        <f>(C5-E5)*12</f>
        <v/>
      </c>
      <c r="G5" s="25" t="inlineStr">
        <is>
          <t>Evet</t>
        </is>
      </c>
    </row>
    <row r="6" ht="29.2" customHeight="1">
      <c r="A6" s="24" t="inlineStr">
        <is>
          <t>LLM / Chatbot API</t>
        </is>
      </c>
      <c r="B6" s="24" t="inlineStr">
        <is>
          <t>Sohbet asistanının token maliyeti (GPT-4o-mini ile aylık 20-50 $)</t>
        </is>
      </c>
      <c r="C6" s="33" t="n">
        <v>35</v>
      </c>
      <c r="D6" s="24" t="inlineStr">
        <is>
          <t>Groq üzerinden LLaMA 3 + llm_cache yanıt önbelleği + kullanıcı başına günlük limit</t>
        </is>
      </c>
      <c r="E6" s="33" t="n">
        <v>2</v>
      </c>
      <c r="F6" s="33">
        <f>(C6-E6)*12</f>
        <v/>
      </c>
      <c r="G6" s="23" t="inlineStr">
        <is>
          <t>Evet</t>
        </is>
      </c>
    </row>
    <row r="7" ht="29.2" customHeight="1">
      <c r="A7" s="26" t="inlineStr">
        <is>
          <t>Barkod Tanıma</t>
        </is>
      </c>
      <c r="B7" s="26" t="inlineStr">
        <is>
          <t>Bulut görüntü işleme servisi ile barkod çözümleme</t>
        </is>
      </c>
      <c r="C7" s="34" t="n">
        <v>10</v>
      </c>
      <c r="D7" s="26" t="inlineStr">
        <is>
          <t>mobile_scanner (Google ML Kit) ile cihaz üzerinde - ücretsiz ve offline</t>
        </is>
      </c>
      <c r="E7" s="34" t="n">
        <v>0</v>
      </c>
      <c r="F7" s="34">
        <f>(C7-E7)*12</f>
        <v/>
      </c>
      <c r="G7" s="25" t="inlineStr">
        <is>
          <t>Evet</t>
        </is>
      </c>
    </row>
    <row r="8" ht="29.2" customHeight="1">
      <c r="A8" s="24" t="inlineStr">
        <is>
          <t>Gıda / Barkod Veritabanı</t>
        </is>
      </c>
      <c r="B8" s="24" t="inlineStr">
        <is>
          <t>FatSecret veya Nutritionix ücretli plan</t>
        </is>
      </c>
      <c r="C8" s="33" t="n">
        <v>20</v>
      </c>
      <c r="D8" s="24" t="inlineStr">
        <is>
          <t>Open Food Facts açık veritabanı (ODbL) + kullanıcı katkılı ürün havuzu</t>
        </is>
      </c>
      <c r="E8" s="33" t="n">
        <v>0</v>
      </c>
      <c r="F8" s="33">
        <f>(C8-E8)*12</f>
        <v/>
      </c>
      <c r="G8" s="23" t="inlineStr">
        <is>
          <t>Evet</t>
        </is>
      </c>
    </row>
    <row r="9" ht="29.2" customHeight="1">
      <c r="A9" s="26" t="inlineStr">
        <is>
          <t>Fiş Okuma (OCR)</t>
        </is>
      </c>
      <c r="B9" s="26" t="inlineStr">
        <is>
          <t>Google Cloud Vision / AWS Textract (1000 istek ~1.5 $)</t>
        </is>
      </c>
      <c r="C9" s="34" t="n">
        <v>15</v>
      </c>
      <c r="D9" s="26" t="inlineStr">
        <is>
          <t>Cihaz üstü ML Kit Text Recognition veya Tesseract (ücretsiz)</t>
        </is>
      </c>
      <c r="E9" s="34" t="n">
        <v>0</v>
      </c>
      <c r="F9" s="34">
        <f>(C9-E9)*12</f>
        <v/>
      </c>
      <c r="G9" s="25" t="inlineStr">
        <is>
          <t>Hayır (V3)</t>
        </is>
      </c>
    </row>
    <row r="10" ht="29.2" customHeight="1">
      <c r="A10" s="24" t="inlineStr">
        <is>
          <t>Görsel Depolama / CDN</t>
        </is>
      </c>
      <c r="B10" s="24" t="inlineStr">
        <is>
          <t>Tarif ve ürün görsellerinin barındırılması</t>
        </is>
      </c>
      <c r="C10" s="33" t="n">
        <v>5</v>
      </c>
      <c r="D10" s="24" t="inlineStr">
        <is>
          <t>Unsplash/Pexels doğrudan bağlantı + cached_network_image ile cihazda önbellek</t>
        </is>
      </c>
      <c r="E10" s="33" t="n">
        <v>0</v>
      </c>
      <c r="F10" s="33">
        <f>(C10-E10)*12</f>
        <v/>
      </c>
      <c r="G10" s="23" t="inlineStr">
        <is>
          <t>Evet</t>
        </is>
      </c>
    </row>
    <row r="11" ht="29.2" customHeight="1">
      <c r="A11" s="26" t="inlineStr">
        <is>
          <t>Push Bildirim</t>
        </is>
      </c>
      <c r="B11" s="26" t="inlineStr">
        <is>
          <t>Bildirim altyapısı</t>
        </is>
      </c>
      <c r="C11" s="34" t="n">
        <v>5</v>
      </c>
      <c r="D11" s="26" t="inlineStr">
        <is>
          <t>flutter_local_notifications ile cihazda yerel bildirim (sunucu gerekmez)</t>
        </is>
      </c>
      <c r="E11" s="34" t="n">
        <v>0</v>
      </c>
      <c r="F11" s="34">
        <f>(C11-E11)*12</f>
        <v/>
      </c>
      <c r="G11" s="25" t="inlineStr">
        <is>
          <t>Kısmen</t>
        </is>
      </c>
    </row>
    <row r="12" ht="16.6" customHeight="1">
      <c r="A12" s="24" t="inlineStr">
        <is>
          <t>Hata İzleme / Log</t>
        </is>
      </c>
      <c r="B12" s="24" t="inlineStr">
        <is>
          <t>Sentry veya benzeri APM aracı</t>
        </is>
      </c>
      <c r="C12" s="33" t="n">
        <v>26</v>
      </c>
      <c r="D12" s="24" t="inlineStr">
        <is>
          <t>Sentry ücretsiz katmanı (5k olay/ay)</t>
        </is>
      </c>
      <c r="E12" s="33" t="n">
        <v>0</v>
      </c>
      <c r="F12" s="33">
        <f>(C12-E12)*12</f>
        <v/>
      </c>
      <c r="G12" s="23" t="inlineStr">
        <is>
          <t>Kısmen</t>
        </is>
      </c>
    </row>
    <row r="13" ht="16.6" customHeight="1">
      <c r="A13" s="26" t="inlineStr">
        <is>
          <t>Alan Adı + SSL</t>
        </is>
      </c>
      <c r="B13" s="26" t="inlineStr">
        <is>
          <t>Backend için alan adı ve sertifika</t>
        </is>
      </c>
      <c r="C13" s="34" t="n">
        <v>1.5</v>
      </c>
      <c r="D13" s="26" t="inlineStr">
        <is>
          <t>Cloudflare ücretsiz SSL + ucuz .com alan adı</t>
        </is>
      </c>
      <c r="E13" s="34" t="n">
        <v>1.5</v>
      </c>
      <c r="F13" s="34">
        <f>(C13-E13)*12</f>
        <v/>
      </c>
      <c r="G13" s="25" t="inlineStr">
        <is>
          <t>Hayır</t>
        </is>
      </c>
    </row>
    <row r="14" ht="16.6" customHeight="1">
      <c r="A14" s="24" t="inlineStr">
        <is>
          <t>Google Play Hesabı</t>
        </is>
      </c>
      <c r="B14" s="24" t="inlineStr">
        <is>
          <t>Tek seferlik 25 $ (ilk yıla yayıldı)</t>
        </is>
      </c>
      <c r="C14" s="33" t="n">
        <v>2.08</v>
      </c>
      <c r="D14" s="24" t="inlineStr">
        <is>
          <t>Zorunlu - staj teslimi için gerekmez</t>
        </is>
      </c>
      <c r="E14" s="33" t="n">
        <v>2.08</v>
      </c>
      <c r="F14" s="33">
        <f>(C14-E14)*12</f>
        <v/>
      </c>
      <c r="G14" s="23" t="inlineStr">
        <is>
          <t>Hayır (V2)</t>
        </is>
      </c>
    </row>
    <row r="15" ht="16.6" customHeight="1">
      <c r="A15" s="26" t="inlineStr">
        <is>
          <t>Apple Developer Hesabı</t>
        </is>
      </c>
      <c r="B15" s="26" t="inlineStr">
        <is>
          <t>Yıllık 99 $</t>
        </is>
      </c>
      <c r="C15" s="34" t="n">
        <v>8.25</v>
      </c>
      <c r="D15" s="26" t="inlineStr">
        <is>
          <t>iOS V2'ye alındı; Windows'ta derlenemiyor</t>
        </is>
      </c>
      <c r="E15" s="34" t="n">
        <v>8.25</v>
      </c>
      <c r="F15" s="34">
        <f>(C15-E15)*12</f>
        <v/>
      </c>
      <c r="G15" s="25" t="inlineStr">
        <is>
          <t>Hayır (V2)</t>
        </is>
      </c>
    </row>
    <row r="16" ht="22" customHeight="1">
      <c r="A16" s="16" t="inlineStr">
        <is>
          <t>TOPLAM</t>
        </is>
      </c>
      <c r="B16" s="16" t="inlineStr">
        <is>
          <t>Aylık toplam / yıllık toplam tasarruf</t>
        </is>
      </c>
      <c r="C16" s="35">
        <f>SUM(C4:C15)</f>
        <v/>
      </c>
      <c r="D16" s="16" t="inlineStr">
        <is>
          <t>Optimize kurulumda aylık gider neredeyse sıfırlanır</t>
        </is>
      </c>
      <c r="E16" s="35">
        <f>SUM(E4:E15)</f>
        <v/>
      </c>
      <c r="F16" s="35">
        <f>SUM(F4:F15)</f>
        <v/>
      </c>
      <c r="G16" s="13" t="n"/>
    </row>
    <row r="18">
      <c r="A18" s="3" t="inlineStr">
        <is>
          <t>STAJ (MVP) SENARYOSU</t>
        </is>
      </c>
    </row>
    <row r="19" ht="18" customHeight="1">
      <c r="A19" s="36" t="inlineStr">
        <is>
          <t>Staj süresince zorunlu aylık gider ($)</t>
        </is>
      </c>
      <c r="B19" s="37">
        <f>SUMIF(G4:G15,"Evet",E4:E15)</f>
        <v/>
      </c>
      <c r="C19" s="38" t="inlineStr">
        <is>
          <t>Sadece MVP'de gerekli kalemlerin optimize maliyeti - ücretsiz katmanlarla neredeyse sıfır</t>
        </is>
      </c>
      <c r="D19" s="6" t="n"/>
      <c r="E19" s="6" t="n"/>
      <c r="F19" s="6" t="n"/>
      <c r="G19" s="6" t="n"/>
    </row>
    <row r="20" ht="18" customHeight="1">
      <c r="A20" s="36" t="inlineStr">
        <is>
          <t>Aynı kalemlerin optimize edilmemiş hali ($)</t>
        </is>
      </c>
      <c r="B20" s="37">
        <f>SUMIF(G4:G15,"Evet",C4:C15)</f>
        <v/>
      </c>
      <c r="C20" s="38" t="inlineStr">
        <is>
          <t>Hazır bulut servisleriyle gidilseydi ödenecek aylık tutar</t>
        </is>
      </c>
      <c r="D20" s="6" t="n"/>
      <c r="E20" s="6" t="n"/>
      <c r="F20" s="6" t="n"/>
      <c r="G20" s="6" t="n"/>
    </row>
    <row r="21" ht="18" customHeight="1">
      <c r="A21" s="36" t="inlineStr">
        <is>
          <t>Aylık tasarruf ($)</t>
        </is>
      </c>
      <c r="B21" s="37">
        <f>B20-B19</f>
        <v/>
      </c>
      <c r="C21" s="38" t="inlineStr">
        <is>
          <t>İkisinin farkı - maliyet optimizasyonunun somut karşılığı</t>
        </is>
      </c>
      <c r="D21" s="6" t="n"/>
      <c r="E21" s="6" t="n"/>
      <c r="F21" s="6" t="n"/>
      <c r="G21" s="6" t="n"/>
    </row>
    <row r="23" ht="14" customHeight="1">
      <c r="A23" s="21" t="inlineStr">
        <is>
          <t>VARSAYIMLAR: Tutarlar USD cinsindendir; tek gelistirici ve dusuk trafik (gunluk &lt;1000 istek) varsayimiyla tahmin edilmistir.</t>
        </is>
      </c>
    </row>
    <row r="24" ht="14" customHeight="1">
      <c r="A24" s="21" t="inlineStr">
        <is>
          <t>Kaynak: proje analizinde optimize edilmemis senaryo icin aylik 100-200 $ ongoruluyordu; buradaki kalem kirilimi o araligi acar.</t>
        </is>
      </c>
    </row>
    <row r="25" ht="39" customHeight="1">
      <c r="A25" s="21" t="inlineStr">
        <is>
          <t>MALIYET DUSURME TEKNIKLERI: (1) On-device isleme - barkod ve OCR buluta gonderilmez, ML Kit ile telefonda calisir. (2) BaaS / ucretsiz katman - kendi sunucunu yonetme. (3) Acik kaynak LLM - Groq uzerinde LLaMA 3. (4) Onbellekleme - llm_cache ile ayni soru API'ye gitmeden yanitlanir. (5) Acik veri - Open Food Facts ile 0 $ urun veritabani. (6) Kural tabanli oneri - derin ogrenme yerine SQL/NoSQL filtreleme, GPU maliyeti sifir. (7) Android-only teslim - Apple 99 $/yil ertelendi.</t>
        </is>
      </c>
    </row>
  </sheetData>
  <mergeCells count="8">
    <mergeCell ref="C21:G21"/>
    <mergeCell ref="A1:G1"/>
    <mergeCell ref="C20:G20"/>
    <mergeCell ref="C19:G19"/>
    <mergeCell ref="A2:G2"/>
    <mergeCell ref="A24:G24"/>
    <mergeCell ref="A25:G25"/>
    <mergeCell ref="A23:G23"/>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F12"/>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22" customWidth="1" min="3" max="3"/>
    <col width="56" customWidth="1" min="4" max="4"/>
    <col width="14" customWidth="1" min="5" max="5"/>
    <col width="44" customWidth="1" min="6" max="6"/>
  </cols>
  <sheetData>
    <row r="1" ht="30" customHeight="1">
      <c r="A1" s="1" t="inlineStr">
        <is>
          <t>VERI ELDE ETME PLANI  |  Kaynaklar, Lisanslar ve Isleme Adimlari</t>
        </is>
      </c>
    </row>
    <row r="2" ht="22" customHeight="1">
      <c r="A2" s="2" t="inlineStr">
        <is>
          <t>Barkod/besin degerleri, yemek tarifleri, gorseller ve malzeme sozlugu icin veri kaynaklari.</t>
        </is>
      </c>
    </row>
    <row r="3" ht="32" customHeight="1">
      <c r="A3" s="7" t="inlineStr">
        <is>
          <t>Veri Türü</t>
        </is>
      </c>
      <c r="B3" s="7" t="inlineStr">
        <is>
          <t>Kaynak</t>
        </is>
      </c>
      <c r="C3" s="7" t="inlineStr">
        <is>
          <t>Erişim / Lisans</t>
        </is>
      </c>
      <c r="D3" s="7" t="inlineStr">
        <is>
          <t>Nasıl Alınacak ve İşlenecek</t>
        </is>
      </c>
      <c r="E3" s="7" t="inlineStr">
        <is>
          <t>Maliyet</t>
        </is>
      </c>
      <c r="F3" s="7" t="inlineStr">
        <is>
          <t>Risk / Dikkat Edilecek Nokta</t>
        </is>
      </c>
    </row>
    <row r="4" ht="54.4" customHeight="1">
      <c r="A4" s="24" t="inlineStr">
        <is>
          <t>Barkod + besin değeri</t>
        </is>
      </c>
      <c r="B4" s="24" t="inlineStr">
        <is>
          <t>Open Food Facts</t>
        </is>
      </c>
      <c r="C4" s="24" t="inlineStr">
        <is>
          <t>Ücretsiz, açık veri (ODbL)</t>
        </is>
      </c>
      <c r="D4" s="24" t="inlineStr">
        <is>
          <t>REST API (api/v2/product/{barcode}.json) ile anlık sorgu; sonuç products tablosuna önbelleklenir. Ayrıca toplu dump indirilip yerel kopya tutulabilir. serving_size ve fiber/sugar/sodium alanları da kaydedilir.</t>
        </is>
      </c>
      <c r="E4" s="23" t="inlineStr">
        <is>
          <t>0 $</t>
        </is>
      </c>
      <c r="F4" s="24" t="inlineStr">
        <is>
          <t>Türk yerel ürünlerinde kapsam boşluğu olabilir; eksikler kullanıcı katkısıyla (source='user') doldurulur.</t>
        </is>
      </c>
    </row>
    <row r="5" ht="29.2" customHeight="1">
      <c r="A5" s="26" t="inlineStr">
        <is>
          <t>Barkod (yedek kaynak)</t>
        </is>
      </c>
      <c r="B5" s="26" t="inlineStr">
        <is>
          <t>FatSecret Platform API</t>
        </is>
      </c>
      <c r="C5" s="26" t="inlineStr">
        <is>
          <t>Freemium</t>
        </is>
      </c>
      <c r="D5" s="26" t="inlineStr">
        <is>
          <t>OAuth ile kimlik doğrulama, ürün ve besin sorgusu. Open Food Facts'te bulunamayan barkodlar için ikincil kaynak.</t>
        </is>
      </c>
      <c r="E5" s="25" t="inlineStr">
        <is>
          <t>0 $ (kota içinde)</t>
        </is>
      </c>
      <c r="F5" s="26" t="inlineStr">
        <is>
          <t>Kota aşımında ücretlendirme; atıf zorunluluğu var.</t>
        </is>
      </c>
    </row>
    <row r="6" ht="41.8" customHeight="1">
      <c r="A6" s="24" t="inlineStr">
        <is>
          <t>Besin değeri referansı</t>
        </is>
      </c>
      <c r="B6" s="24" t="inlineStr">
        <is>
          <t>USDA FoodData Central</t>
        </is>
      </c>
      <c r="C6" s="24" t="inlineStr">
        <is>
          <t>Ücretsiz, kamu malı</t>
        </is>
      </c>
      <c r="D6" s="24" t="inlineStr">
        <is>
          <t>Toplu veri indirilip temel gıdaların (pirinç, mercimek, tavuk) 100 g besin değerleri ingredients tablosuna aktarılır.</t>
        </is>
      </c>
      <c r="E6" s="23" t="inlineStr">
        <is>
          <t>0 $</t>
        </is>
      </c>
      <c r="F6" s="24" t="inlineStr">
        <is>
          <t>ABD odaklı; Türk mutfağı porsiyonlarıyla birebir örtüşmeyebilir.</t>
        </is>
      </c>
    </row>
    <row r="7" ht="54.4" customHeight="1">
      <c r="A7" s="26" t="inlineStr">
        <is>
          <t>Yemek tarifleri (toplu)</t>
        </is>
      </c>
      <c r="B7" s="26" t="inlineStr">
        <is>
          <t>Kaggle - Recipe Ingredients Dataset / RecipeNLG</t>
        </is>
      </c>
      <c r="C7" s="26" t="inlineStr">
        <is>
          <t>Araştırma / açık lisans (koşulları kontrol edilmeli)</t>
        </is>
      </c>
      <c r="D7" s="26" t="inlineStr">
        <is>
          <t>CSV indirilir, Pandas ile temizlenir: küçük harfe çevirme, trim, mükerrer temizliği, malzeme-miktar-birim ayrıştırma, canonical_name eşlemesi. Sonuç JSON'a çevrilip mongoimport ile yüklenir.</t>
        </is>
      </c>
      <c r="E7" s="25" t="inlineStr">
        <is>
          <t>0 $</t>
        </is>
      </c>
      <c r="F7" s="26" t="inlineStr">
        <is>
          <t>Lisans koşulları ticari kullanımı sınırlayabilir; yayın öncesi doğrulanmalı.</t>
        </is>
      </c>
    </row>
    <row r="8" ht="41.8" customHeight="1">
      <c r="A8" s="24" t="inlineStr">
        <is>
          <t>Türk mutfağı tarifleri</t>
        </is>
      </c>
      <c r="B8" s="24" t="inlineStr">
        <is>
          <t>Telifsiz / açık lisanslı kaynaklar + manuel giriş</t>
        </is>
      </c>
      <c r="C8" s="24" t="inlineStr">
        <is>
          <t>Kaynak bazında değişir</t>
        </is>
      </c>
      <c r="D8" s="24" t="inlineStr">
        <is>
          <t>Yalnızca robots.txt izin veren ve telif içermeyen kaynaklardan BeautifulSoup ile kazıma; Pandas ile temizlik. Kritik 40 tarif elle girilerek kalite garanti altına alınır.</t>
        </is>
      </c>
      <c r="E8" s="23" t="inlineStr">
        <is>
          <t>0 $</t>
        </is>
      </c>
      <c r="F8" s="24" t="inlineStr">
        <is>
          <t>TELİF RİSKİ: Tarif metni telif korumasına girebilir. En güvenlisi malzeme listesinden yola çıkıp adımları kendin yazmaktır.</t>
        </is>
      </c>
    </row>
    <row r="9" ht="41.8" customHeight="1">
      <c r="A9" s="26" t="inlineStr">
        <is>
          <t>Tarif görselleri</t>
        </is>
      </c>
      <c r="B9" s="26" t="inlineStr">
        <is>
          <t>Unsplash / Pexels API</t>
        </is>
      </c>
      <c r="C9" s="26" t="inlineStr">
        <is>
          <t>Ücretsiz, atıf ile</t>
        </is>
      </c>
      <c r="D9" s="26" t="inlineStr">
        <is>
          <t>Tarif başlığına göre API'den görsel çekilip URL olarak saklanır; cihazda cached_network_image ile önbelleklenir. Dosya barındırma maliyeti oluşmaz.</t>
        </is>
      </c>
      <c r="E9" s="25" t="inlineStr">
        <is>
          <t>0 $</t>
        </is>
      </c>
      <c r="F9" s="26" t="inlineStr">
        <is>
          <t>Alakasız görsel gelebilir; kritik tariflerde elle seçim yapılmalı.</t>
        </is>
      </c>
    </row>
    <row r="10" ht="67" customHeight="1">
      <c r="A10" s="24" t="inlineStr">
        <is>
          <t>Malzeme sözlüğü + birim tablosu</t>
        </is>
      </c>
      <c r="B10" s="24" t="inlineStr">
        <is>
          <t>Manuel üretim (proje içi)</t>
        </is>
      </c>
      <c r="C10" s="24" t="inlineStr">
        <is>
          <t>Proje mülkiyeti</t>
        </is>
      </c>
      <c r="D10" s="24" t="inlineStr">
        <is>
          <t>Tarif veri setindeki malzeme adları frekansa göre sıralanır, ilk 150-200 tanesi canonical isimlere elle eşlenir ve ingredients + ingredient_aliases tablolarına seed edilir. grams_per_piece, ml_to_gram_factor, cooked_yield_factor değerleri doldurulur.</t>
        </is>
      </c>
      <c r="E10" s="23" t="inlineStr">
        <is>
          <t>0 $</t>
        </is>
      </c>
      <c r="F10" s="24" t="inlineStr">
        <is>
          <t>PROJENİN EN KRİTİK VERİ VARLIĞI. Eksik olursa tüm eşleştirme algoritması bozulur. W3-T02A ile kendi kendini büyütür.</t>
        </is>
      </c>
    </row>
    <row r="11" ht="41.8" customHeight="1">
      <c r="A11" s="26" t="inlineStr">
        <is>
          <t>Eşleşmeyen malzemeler</t>
        </is>
      </c>
      <c r="B11" s="26" t="inlineStr">
        <is>
          <t>Uygulamanın kendisi (unmatched_ingredients)</t>
        </is>
      </c>
      <c r="C11" s="26" t="inlineStr">
        <is>
          <t>Proje mülkiyeti</t>
        </is>
      </c>
      <c r="D11" s="26" t="inlineStr">
        <is>
          <t>Eşleştirilemeyen her metin normalize edilip tabloya yazılır ve sayılır. Hafta sonu frekansa göre en sık 20 kayıt sözlüğe eklenir.</t>
        </is>
      </c>
      <c r="E11" s="25" t="inlineStr">
        <is>
          <t>0 $</t>
        </is>
      </c>
      <c r="F11" s="26" t="inlineStr">
        <is>
          <t>Sözlüğün büyüme motoru. V3 fiş OCR için de aynı mekanizma kullanılır.</t>
        </is>
      </c>
    </row>
    <row r="12" ht="54.4" customHeight="1">
      <c r="A12" s="24" t="inlineStr">
        <is>
          <t>Kullanıcı verisi</t>
        </is>
      </c>
      <c r="B12" s="24" t="inlineStr">
        <is>
          <t>Uygulama içi onboarding + kullanım logları</t>
        </is>
      </c>
      <c r="C12" s="24" t="inlineStr">
        <is>
          <t>Kullanıcı açık rızası ile</t>
        </is>
      </c>
      <c r="D12" s="24" t="inlineStr">
        <is>
          <t>Onboarding anketi (diyet, alerjen, hedef, sevilen yemekler) + davranış logları (beğeni, yapılan tarif, kiler hareketleri) toplanır ve öneri skorlamasını besler.</t>
        </is>
      </c>
      <c r="E12" s="23" t="inlineStr">
        <is>
          <t>0 $</t>
        </is>
      </c>
      <c r="F12" s="24" t="inlineStr">
        <is>
          <t>KVKK: Aydınlatma metni, açık rıza ve veri silme hakkı zorunlu. Sağlık verisi ÖZEL NİTELİKLİ kişisel veridir. W4-T12A ile export/silme uçları yazılır.</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tabColor rgb="00808080"/>
    <outlinePr summaryBelow="1" summaryRight="1"/>
    <pageSetUpPr/>
  </sheetPr>
  <dimension ref="A1:F93"/>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24" customWidth="1" min="3" max="3"/>
    <col width="24" customWidth="1" min="4" max="4"/>
    <col width="18" customWidth="1" min="5" max="5"/>
    <col width="58" customWidth="1" min="6" max="6"/>
  </cols>
  <sheetData>
    <row r="1" ht="30" customHeight="1">
      <c r="A1" s="1" t="inlineStr">
        <is>
          <t>VERITABANI SEMASI  |  21 Tablo  |  SQLite (iliskisel) + MongoDB (dokuman)</t>
        </is>
      </c>
    </row>
    <row r="2" ht="22" customHeight="1">
      <c r="A2" s="2" t="inlineStr">
        <is>
          <t>Birlestirme anahtarlari: ingredients.canonical_name &lt;-&gt; recipes.ingredients[].canonical_name  ve  recipe_id (TEXT) &lt;-&gt; recipes._id</t>
        </is>
      </c>
    </row>
    <row r="3" ht="32" customHeight="1">
      <c r="A3" s="7" t="inlineStr">
        <is>
          <t>Katman</t>
        </is>
      </c>
      <c r="B3" s="7" t="inlineStr">
        <is>
          <t>Grup</t>
        </is>
      </c>
      <c r="C3" s="7" t="inlineStr">
        <is>
          <t>Tablo / Koleksiyon</t>
        </is>
      </c>
      <c r="D3" s="7" t="inlineStr">
        <is>
          <t>Alan</t>
        </is>
      </c>
      <c r="E3" s="7" t="inlineStr">
        <is>
          <t>Tip / Kısıt</t>
        </is>
      </c>
      <c r="F3" s="7" t="inlineStr">
        <is>
          <t>Açıklama</t>
        </is>
      </c>
    </row>
    <row r="4" ht="16.6" customHeight="1">
      <c r="A4" s="23" t="inlineStr">
        <is>
          <t>SQLite</t>
        </is>
      </c>
      <c r="B4" s="24" t="inlineStr">
        <is>
          <t>A. Kullanıcı</t>
        </is>
      </c>
      <c r="C4" s="24" t="inlineStr">
        <is>
          <t>users</t>
        </is>
      </c>
      <c r="D4" s="24" t="inlineStr">
        <is>
          <t>id</t>
        </is>
      </c>
      <c r="E4" s="24" t="inlineStr">
        <is>
          <t>INTEGER PK</t>
        </is>
      </c>
      <c r="F4" s="24" t="inlineStr">
        <is>
          <t>Otomatik artan birincil anahtar</t>
        </is>
      </c>
    </row>
    <row r="5" ht="29.2" customHeight="1">
      <c r="A5" s="25" t="inlineStr">
        <is>
          <t>SQLite</t>
        </is>
      </c>
      <c r="B5" s="26" t="inlineStr">
        <is>
          <t>A. Kullanıcı</t>
        </is>
      </c>
      <c r="C5" s="26" t="inlineStr">
        <is>
          <t>users</t>
        </is>
      </c>
      <c r="D5" s="26" t="inlineStr">
        <is>
          <t>email</t>
        </is>
      </c>
      <c r="E5" s="26" t="inlineStr">
        <is>
          <t>TEXT UNIQUE NOT NULL</t>
        </is>
      </c>
      <c r="F5" s="26" t="inlineStr">
        <is>
          <t>Giriş kimliği; küçük harfe normalize edilir</t>
        </is>
      </c>
    </row>
    <row r="6" ht="16.6" customHeight="1">
      <c r="A6" s="23" t="inlineStr">
        <is>
          <t>SQLite</t>
        </is>
      </c>
      <c r="B6" s="24" t="inlineStr">
        <is>
          <t>A. Kullanıcı</t>
        </is>
      </c>
      <c r="C6" s="24" t="inlineStr">
        <is>
          <t>users</t>
        </is>
      </c>
      <c r="D6" s="24" t="inlineStr">
        <is>
          <t>hashed_password</t>
        </is>
      </c>
      <c r="E6" s="24" t="inlineStr">
        <is>
          <t>TEXT NOT NULL</t>
        </is>
      </c>
      <c r="F6" s="24" t="inlineStr">
        <is>
          <t>bcrypt ile hash; düz metin ASLA saklanmaz</t>
        </is>
      </c>
    </row>
    <row r="7" ht="16.6" customHeight="1">
      <c r="A7" s="25" t="inlineStr">
        <is>
          <t>SQLite</t>
        </is>
      </c>
      <c r="B7" s="26" t="inlineStr">
        <is>
          <t>A. Kullanıcı</t>
        </is>
      </c>
      <c r="C7" s="26" t="inlineStr">
        <is>
          <t>users</t>
        </is>
      </c>
      <c r="D7" s="26" t="inlineStr">
        <is>
          <t>onboarding_completed</t>
        </is>
      </c>
      <c r="E7" s="26" t="inlineStr">
        <is>
          <t>BOOLEAN</t>
        </is>
      </c>
      <c r="F7" s="26" t="inlineStr">
        <is>
          <t>Anketin tekrar gösterilmemesi için</t>
        </is>
      </c>
    </row>
    <row r="8" ht="29.2" customHeight="1">
      <c r="A8" s="23" t="inlineStr">
        <is>
          <t>SQLite</t>
        </is>
      </c>
      <c r="B8" s="24" t="inlineStr">
        <is>
          <t>A. Kullanıcı</t>
        </is>
      </c>
      <c r="C8" s="24" t="inlineStr">
        <is>
          <t>users</t>
        </is>
      </c>
      <c r="D8" s="24" t="inlineStr">
        <is>
          <t>is_active / created_at / updated_at</t>
        </is>
      </c>
      <c r="E8" s="24" t="inlineStr">
        <is>
          <t>BOOLEAN / DATETIME</t>
        </is>
      </c>
      <c r="F8" s="24" t="inlineStr">
        <is>
          <t>Denetim alanları</t>
        </is>
      </c>
    </row>
    <row r="9" ht="16.6" customHeight="1">
      <c r="A9" s="25" t="inlineStr">
        <is>
          <t>SQLite</t>
        </is>
      </c>
      <c r="B9" s="26" t="inlineStr">
        <is>
          <t>A. Kullanıcı</t>
        </is>
      </c>
      <c r="C9" s="26" t="inlineStr">
        <is>
          <t>user_profiles</t>
        </is>
      </c>
      <c r="D9" s="26" t="inlineStr">
        <is>
          <t>user_id</t>
        </is>
      </c>
      <c r="E9" s="26" t="inlineStr">
        <is>
          <t>INTEGER FK UNIQUE</t>
        </is>
      </c>
      <c r="F9" s="26" t="inlineStr">
        <is>
          <t>users ile 1:1; ON DELETE CASCADE</t>
        </is>
      </c>
    </row>
    <row r="10" ht="16.6" customHeight="1">
      <c r="A10" s="23" t="inlineStr">
        <is>
          <t>SQLite</t>
        </is>
      </c>
      <c r="B10" s="24" t="inlineStr">
        <is>
          <t>A. Kullanıcı</t>
        </is>
      </c>
      <c r="C10" s="24" t="inlineStr">
        <is>
          <t>user_profiles</t>
        </is>
      </c>
      <c r="D10" s="24" t="inlineStr">
        <is>
          <t>birth_year</t>
        </is>
      </c>
      <c r="E10" s="24" t="inlineStr">
        <is>
          <t>INTEGER</t>
        </is>
      </c>
      <c r="F10" s="24" t="inlineStr">
        <is>
          <t>Yaş yerine doğum yılı - veri bayatlamaz</t>
        </is>
      </c>
    </row>
    <row r="11" ht="29.2" customHeight="1">
      <c r="A11" s="25" t="inlineStr">
        <is>
          <t>SQLite</t>
        </is>
      </c>
      <c r="B11" s="26" t="inlineStr">
        <is>
          <t>A. Kullanıcı</t>
        </is>
      </c>
      <c r="C11" s="26" t="inlineStr">
        <is>
          <t>user_profiles</t>
        </is>
      </c>
      <c r="D11" s="26" t="inlineStr">
        <is>
          <t>gender / height_cm / weight_kg</t>
        </is>
      </c>
      <c r="E11" s="26" t="inlineStr">
        <is>
          <t>TEXT / REAL</t>
        </is>
      </c>
      <c r="F11" s="26" t="inlineStr">
        <is>
          <t>BMR hesabının girdileri</t>
        </is>
      </c>
    </row>
    <row r="12" ht="16.6" customHeight="1">
      <c r="A12" s="23" t="inlineStr">
        <is>
          <t>SQLite</t>
        </is>
      </c>
      <c r="B12" s="24" t="inlineStr">
        <is>
          <t>A. Kullanıcı</t>
        </is>
      </c>
      <c r="C12" s="24" t="inlineStr">
        <is>
          <t>user_profiles</t>
        </is>
      </c>
      <c r="D12" s="24" t="inlineStr">
        <is>
          <t>activity_level</t>
        </is>
      </c>
      <c r="E12" s="24" t="inlineStr">
        <is>
          <t>TEXT CHECK</t>
        </is>
      </c>
      <c r="F12" s="24" t="inlineStr">
        <is>
          <t>sedanter / hafif / orta / yuksek / cok_yuksek</t>
        </is>
      </c>
    </row>
    <row r="13" ht="16.6" customHeight="1">
      <c r="A13" s="25" t="inlineStr">
        <is>
          <t>SQLite</t>
        </is>
      </c>
      <c r="B13" s="26" t="inlineStr">
        <is>
          <t>A. Kullanıcı</t>
        </is>
      </c>
      <c r="C13" s="26" t="inlineStr">
        <is>
          <t>user_profiles</t>
        </is>
      </c>
      <c r="D13" s="26" t="inlineStr">
        <is>
          <t>goal</t>
        </is>
      </c>
      <c r="E13" s="26" t="inlineStr">
        <is>
          <t>TEXT CHECK</t>
        </is>
      </c>
      <c r="F13" s="26" t="inlineStr">
        <is>
          <t>kilo_verme / koruma / kilo_alma -&gt; hedefe -/+500 kcal</t>
        </is>
      </c>
    </row>
    <row r="14" ht="29.2" customHeight="1">
      <c r="A14" s="23" t="inlineStr">
        <is>
          <t>SQLite</t>
        </is>
      </c>
      <c r="B14" s="24" t="inlineStr">
        <is>
          <t>A. Kullanıcı</t>
        </is>
      </c>
      <c r="C14" s="24" t="inlineStr">
        <is>
          <t>user_profiles</t>
        </is>
      </c>
      <c r="D14" s="24" t="inlineStr">
        <is>
          <t>bmr / tdee / daily_calorie_target</t>
        </is>
      </c>
      <c r="E14" s="24" t="inlineStr">
        <is>
          <t>REAL</t>
        </is>
      </c>
      <c r="F14" s="24" t="inlineStr">
        <is>
          <t>Mifflin-St Jeor ile hesaplanır (W1-T20)</t>
        </is>
      </c>
    </row>
    <row r="15" ht="29.2" customHeight="1">
      <c r="A15" s="25" t="inlineStr">
        <is>
          <t>SQLite</t>
        </is>
      </c>
      <c r="B15" s="26" t="inlineStr">
        <is>
          <t>A. Kullanıcı</t>
        </is>
      </c>
      <c r="C15" s="26" t="inlineStr">
        <is>
          <t>user_profiles</t>
        </is>
      </c>
      <c r="D15" s="26" t="inlineStr">
        <is>
          <t>protein/carb/fat_target_g</t>
        </is>
      </c>
      <c r="E15" s="26" t="inlineStr">
        <is>
          <t>REAL</t>
        </is>
      </c>
      <c r="F15" s="26" t="inlineStr">
        <is>
          <t>Makro hedefleri (%30/%40/%30)</t>
        </is>
      </c>
    </row>
    <row r="16" ht="16.6" customHeight="1">
      <c r="A16" s="23" t="inlineStr">
        <is>
          <t>SQLite</t>
        </is>
      </c>
      <c r="B16" s="24" t="inlineStr">
        <is>
          <t>A. Kullanıcı</t>
        </is>
      </c>
      <c r="C16" s="24" t="inlineStr">
        <is>
          <t>user_profiles</t>
        </is>
      </c>
      <c r="D16" s="24" t="inlineStr">
        <is>
          <t>household_size</t>
        </is>
      </c>
      <c r="E16" s="24" t="inlineStr">
        <is>
          <t>INTEGER</t>
        </is>
      </c>
      <c r="F16" s="24" t="inlineStr">
        <is>
          <t>R11: varsayılan porsiyon sayısı</t>
        </is>
      </c>
    </row>
    <row r="17" ht="16.6" customHeight="1">
      <c r="A17" s="25" t="inlineStr">
        <is>
          <t>SQLite</t>
        </is>
      </c>
      <c r="B17" s="26" t="inlineStr">
        <is>
          <t>A. Kullanıcı</t>
        </is>
      </c>
      <c r="C17" s="26" t="inlineStr">
        <is>
          <t>diet_tags</t>
        </is>
      </c>
      <c r="D17" s="26" t="inlineStr">
        <is>
          <t>code / display_name</t>
        </is>
      </c>
      <c r="E17" s="26" t="inlineStr">
        <is>
          <t>TEXT UNIQUE</t>
        </is>
      </c>
      <c r="F17" s="26" t="inlineStr">
        <is>
          <t>vegan, vejetaryen, glutensiz, laktozsuz, ketojenik</t>
        </is>
      </c>
    </row>
    <row r="18" ht="16.6" customHeight="1">
      <c r="A18" s="23" t="inlineStr">
        <is>
          <t>SQLite</t>
        </is>
      </c>
      <c r="B18" s="24" t="inlineStr">
        <is>
          <t>A. Kullanıcı</t>
        </is>
      </c>
      <c r="C18" s="24" t="inlineStr">
        <is>
          <t>user_diet_tags</t>
        </is>
      </c>
      <c r="D18" s="24" t="inlineStr">
        <is>
          <t>(user_id, diet_tag_id)</t>
        </is>
      </c>
      <c r="E18" s="24" t="inlineStr">
        <is>
          <t>COMPOSITE PK</t>
        </is>
      </c>
      <c r="F18" s="24" t="inlineStr">
        <is>
          <t>R8: N:N ilişki</t>
        </is>
      </c>
    </row>
    <row r="19" ht="29.2" customHeight="1">
      <c r="A19" s="25" t="inlineStr">
        <is>
          <t>SQLite</t>
        </is>
      </c>
      <c r="B19" s="26" t="inlineStr">
        <is>
          <t>A. Kullanıcı</t>
        </is>
      </c>
      <c r="C19" s="26" t="inlineStr">
        <is>
          <t>allergens</t>
        </is>
      </c>
      <c r="D19" s="26" t="inlineStr">
        <is>
          <t>code / display_name</t>
        </is>
      </c>
      <c r="E19" s="26" t="inlineStr">
        <is>
          <t>TEXT UNIQUE</t>
        </is>
      </c>
      <c r="F19" s="26" t="inlineStr">
        <is>
          <t>gluten, laktoz, findik, yer_fistigi, yumurta, soya, deniz_urunu, susam</t>
        </is>
      </c>
    </row>
    <row r="20" ht="16.6" customHeight="1">
      <c r="A20" s="23" t="inlineStr">
        <is>
          <t>SQLite</t>
        </is>
      </c>
      <c r="B20" s="24" t="inlineStr">
        <is>
          <t>A. Kullanıcı</t>
        </is>
      </c>
      <c r="C20" s="24" t="inlineStr">
        <is>
          <t>user_allergens</t>
        </is>
      </c>
      <c r="D20" s="24" t="inlineStr">
        <is>
          <t>(user_id, allergen_id)</t>
        </is>
      </c>
      <c r="E20" s="24" t="inlineStr">
        <is>
          <t>COMPOSITE PK</t>
        </is>
      </c>
      <c r="F20" s="24" t="inlineStr">
        <is>
          <t>GÜVENLİK KRİTİK: bu filtre hiçbir koşulda atlanmaz</t>
        </is>
      </c>
    </row>
    <row r="21" ht="16.6" customHeight="1">
      <c r="A21" s="25" t="inlineStr">
        <is>
          <t>SQLite</t>
        </is>
      </c>
      <c r="B21" s="26" t="inlineStr">
        <is>
          <t>A. Kullanıcı</t>
        </is>
      </c>
      <c r="C21" s="26" t="inlineStr">
        <is>
          <t>user_allergens</t>
        </is>
      </c>
      <c r="D21" s="26" t="inlineStr">
        <is>
          <t>severity</t>
        </is>
      </c>
      <c r="E21" s="26" t="inlineStr">
        <is>
          <t>TEXT</t>
        </is>
      </c>
      <c r="F21" s="26" t="inlineStr">
        <is>
          <t>hafif / siddetli</t>
        </is>
      </c>
    </row>
    <row r="22" ht="29.2" customHeight="1">
      <c r="A22" s="23" t="inlineStr">
        <is>
          <t>SQLite</t>
        </is>
      </c>
      <c r="B22" s="24" t="inlineStr">
        <is>
          <t>B. Sözlük</t>
        </is>
      </c>
      <c r="C22" s="24" t="inlineStr">
        <is>
          <t>categories</t>
        </is>
      </c>
      <c r="D22" s="24" t="inlineStr">
        <is>
          <t>code / display_name / icon</t>
        </is>
      </c>
      <c r="E22" s="24" t="inlineStr">
        <is>
          <t>TEXT</t>
        </is>
      </c>
      <c r="F22" s="24" t="inlineStr">
        <is>
          <t>bakliyat, sut_urunleri, et_tavuk, manav, kuru_gida, baharat...</t>
        </is>
      </c>
    </row>
    <row r="23" ht="16.6" customHeight="1">
      <c r="A23" s="25" t="inlineStr">
        <is>
          <t>SQLite</t>
        </is>
      </c>
      <c r="B23" s="26" t="inlineStr">
        <is>
          <t>B. Sözlük</t>
        </is>
      </c>
      <c r="C23" s="26" t="inlineStr">
        <is>
          <t>ingredients</t>
        </is>
      </c>
      <c r="D23" s="26" t="inlineStr">
        <is>
          <t>canonical_name</t>
        </is>
      </c>
      <c r="E23" s="26" t="inlineStr">
        <is>
          <t>TEXT UNIQUE INDEX</t>
        </is>
      </c>
      <c r="F23" s="26" t="inlineStr">
        <is>
          <t>SİSTEMİN KALBİ. SQLite &lt;-&gt; MongoDB birleştirme anahtarı</t>
        </is>
      </c>
    </row>
    <row r="24" ht="29.2" customHeight="1">
      <c r="A24" s="23" t="inlineStr">
        <is>
          <t>SQLite</t>
        </is>
      </c>
      <c r="B24" s="24" t="inlineStr">
        <is>
          <t>B. Sözlük</t>
        </is>
      </c>
      <c r="C24" s="24" t="inlineStr">
        <is>
          <t>ingredients</t>
        </is>
      </c>
      <c r="D24" s="24" t="inlineStr">
        <is>
          <t>display_name / category_id</t>
        </is>
      </c>
      <c r="E24" s="24" t="inlineStr">
        <is>
          <t>TEXT / FK</t>
        </is>
      </c>
      <c r="F24" s="24" t="inlineStr">
        <is>
          <t>Kullanıcıya gösterilen ad ve kategori</t>
        </is>
      </c>
    </row>
    <row r="25" ht="29.2" customHeight="1">
      <c r="A25" s="25" t="inlineStr">
        <is>
          <t>SQLite</t>
        </is>
      </c>
      <c r="B25" s="26" t="inlineStr">
        <is>
          <t>B. Sözlük</t>
        </is>
      </c>
      <c r="C25" s="26" t="inlineStr">
        <is>
          <t>ingredients</t>
        </is>
      </c>
      <c r="D25" s="26" t="inlineStr">
        <is>
          <t>default_unit_type / default_unit</t>
        </is>
      </c>
      <c r="E25" s="26" t="inlineStr">
        <is>
          <t>TEXT CHECK</t>
        </is>
      </c>
      <c r="F25" s="26" t="inlineStr">
        <is>
          <t>mass / volume / count  ve  g / ml / adet ...</t>
        </is>
      </c>
    </row>
    <row r="26" ht="16.6" customHeight="1">
      <c r="A26" s="23" t="inlineStr">
        <is>
          <t>SQLite</t>
        </is>
      </c>
      <c r="B26" s="24" t="inlineStr">
        <is>
          <t>B. Sözlük</t>
        </is>
      </c>
      <c r="C26" s="24" t="inlineStr">
        <is>
          <t>ingredients</t>
        </is>
      </c>
      <c r="D26" s="24" t="inlineStr">
        <is>
          <t>grams_per_piece</t>
        </is>
      </c>
      <c r="E26" s="24" t="inlineStr">
        <is>
          <t>REAL</t>
        </is>
      </c>
      <c r="F26" s="24" t="inlineStr">
        <is>
          <t>1 soğan ~ 150 g. Adet &lt;-&gt; gram dönüşümü için ZORUNLU</t>
        </is>
      </c>
    </row>
    <row r="27" ht="16.6" customHeight="1">
      <c r="A27" s="25" t="inlineStr">
        <is>
          <t>SQLite</t>
        </is>
      </c>
      <c r="B27" s="26" t="inlineStr">
        <is>
          <t>B. Sözlük</t>
        </is>
      </c>
      <c r="C27" s="26" t="inlineStr">
        <is>
          <t>ingredients</t>
        </is>
      </c>
      <c r="D27" s="26" t="inlineStr">
        <is>
          <t>ml_to_gram_factor</t>
        </is>
      </c>
      <c r="E27" s="26" t="inlineStr">
        <is>
          <t>REAL</t>
        </is>
      </c>
      <c r="F27" s="26" t="inlineStr">
        <is>
          <t>Yoğunluk: 1 ml sıvı yağ ~ 0.92 g</t>
        </is>
      </c>
    </row>
    <row r="28" ht="16.6" customHeight="1">
      <c r="A28" s="23" t="inlineStr">
        <is>
          <t>SQLite</t>
        </is>
      </c>
      <c r="B28" s="24" t="inlineStr">
        <is>
          <t>B. Sözlük</t>
        </is>
      </c>
      <c r="C28" s="24" t="inlineStr">
        <is>
          <t>ingredients</t>
        </is>
      </c>
      <c r="D28" s="24" t="inlineStr">
        <is>
          <t>cooked_yield_factor</t>
        </is>
      </c>
      <c r="E28" s="24" t="inlineStr">
        <is>
          <t>REAL</t>
        </is>
      </c>
      <c r="F28" s="24" t="inlineStr">
        <is>
          <t>100 g çiğ pirinç != 100 g pilav. Kalori doğruluğu</t>
        </is>
      </c>
    </row>
    <row r="29" ht="29.2" customHeight="1">
      <c r="A29" s="25" t="inlineStr">
        <is>
          <t>SQLite</t>
        </is>
      </c>
      <c r="B29" s="26" t="inlineStr">
        <is>
          <t>B. Sözlük</t>
        </is>
      </c>
      <c r="C29" s="26" t="inlineStr">
        <is>
          <t>ingredients</t>
        </is>
      </c>
      <c r="D29" s="26" t="inlineStr">
        <is>
          <t>calories/protein/carb/fat_per_100g</t>
        </is>
      </c>
      <c r="E29" s="26" t="inlineStr">
        <is>
          <t>REAL</t>
        </is>
      </c>
      <c r="F29" s="26" t="inlineStr">
        <is>
          <t>Temel besin değerleri</t>
        </is>
      </c>
    </row>
    <row r="30" ht="29.2" customHeight="1">
      <c r="A30" s="23" t="inlineStr">
        <is>
          <t>SQLite</t>
        </is>
      </c>
      <c r="B30" s="24" t="inlineStr">
        <is>
          <t>B. Sözlük</t>
        </is>
      </c>
      <c r="C30" s="24" t="inlineStr">
        <is>
          <t>ingredients</t>
        </is>
      </c>
      <c r="D30" s="24" t="inlineStr">
        <is>
          <t>fiber/sugar/sodium_per_100g</t>
        </is>
      </c>
      <c r="E30" s="24" t="inlineStr">
        <is>
          <t>REAL</t>
        </is>
      </c>
      <c r="F30" s="24" t="inlineStr">
        <is>
          <t>Mikro besinler (sütun MVP'de açıldı, özellik V2)</t>
        </is>
      </c>
    </row>
    <row r="31" ht="16.6" customHeight="1">
      <c r="A31" s="25" t="inlineStr">
        <is>
          <t>SQLite</t>
        </is>
      </c>
      <c r="B31" s="26" t="inlineStr">
        <is>
          <t>B. Sözlük</t>
        </is>
      </c>
      <c r="C31" s="26" t="inlineStr">
        <is>
          <t>ingredients</t>
        </is>
      </c>
      <c r="D31" s="26" t="inlineStr">
        <is>
          <t>avg_shelf_life_days</t>
        </is>
      </c>
      <c r="E31" s="26" t="inlineStr">
        <is>
          <t>INTEGER</t>
        </is>
      </c>
      <c r="F31" s="26" t="inlineStr">
        <is>
          <t>SKT girilmezse tahmini son kullanma tarihi önerisi</t>
        </is>
      </c>
    </row>
    <row r="32" ht="16.6" customHeight="1">
      <c r="A32" s="23" t="inlineStr">
        <is>
          <t>SQLite</t>
        </is>
      </c>
      <c r="B32" s="24" t="inlineStr">
        <is>
          <t>B. Sözlük</t>
        </is>
      </c>
      <c r="C32" s="24" t="inlineStr">
        <is>
          <t>ingredients</t>
        </is>
      </c>
      <c r="D32" s="24" t="inlineStr">
        <is>
          <t>season_months</t>
        </is>
      </c>
      <c r="E32" s="24" t="inlineStr">
        <is>
          <t>TEXT</t>
        </is>
      </c>
      <c r="F32" s="24" t="inlineStr">
        <is>
          <t>'5,6,7,8' -&gt; mevsim bilgisi (V2)</t>
        </is>
      </c>
    </row>
    <row r="33" ht="16.6" customHeight="1">
      <c r="A33" s="25" t="inlineStr">
        <is>
          <t>SQLite</t>
        </is>
      </c>
      <c r="B33" s="26" t="inlineStr">
        <is>
          <t>B. Sözlük</t>
        </is>
      </c>
      <c r="C33" s="26" t="inlineStr">
        <is>
          <t>ingredients</t>
        </is>
      </c>
      <c r="D33" s="26" t="inlineStr">
        <is>
          <t>avg_price_per_100g</t>
        </is>
      </c>
      <c r="E33" s="26" t="inlineStr">
        <is>
          <t>REAL</t>
        </is>
      </c>
      <c r="F33" s="26" t="inlineStr">
        <is>
          <t>İsraf raporunun TL karşılığı (V2)</t>
        </is>
      </c>
    </row>
    <row r="34" ht="16.6" customHeight="1">
      <c r="A34" s="23" t="inlineStr">
        <is>
          <t>SQLite</t>
        </is>
      </c>
      <c r="B34" s="24" t="inlineStr">
        <is>
          <t>B. Sözlük</t>
        </is>
      </c>
      <c r="C34" s="24" t="inlineStr">
        <is>
          <t>ingredients</t>
        </is>
      </c>
      <c r="D34" s="24" t="inlineStr">
        <is>
          <t>is_staple</t>
        </is>
      </c>
      <c r="E34" s="24" t="inlineStr">
        <is>
          <t>BOOLEAN</t>
        </is>
      </c>
      <c r="F34" s="24" t="inlineStr">
        <is>
          <t>Tuz, su, karabiber -&gt; eşleşmede otomatik VAR sayılır</t>
        </is>
      </c>
    </row>
    <row r="35" ht="16.6" customHeight="1">
      <c r="A35" s="25" t="inlineStr">
        <is>
          <t>SQLite</t>
        </is>
      </c>
      <c r="B35" s="26" t="inlineStr">
        <is>
          <t>B. Sözlük</t>
        </is>
      </c>
      <c r="C35" s="26" t="inlineStr">
        <is>
          <t>ingredient_aliases</t>
        </is>
      </c>
      <c r="D35" s="26" t="inlineStr">
        <is>
          <t>alias</t>
        </is>
      </c>
      <c r="E35" s="26" t="inlineStr">
        <is>
          <t>TEXT UNIQUE INDEX</t>
        </is>
      </c>
      <c r="F35" s="26" t="inlineStr">
        <is>
          <t>'k.mercimek', 'MGRS KRMZ MRCMK' -&gt; aynı malzemeye bağlanır</t>
        </is>
      </c>
    </row>
    <row r="36" ht="16.6" customHeight="1">
      <c r="A36" s="23" t="inlineStr">
        <is>
          <t>SQLite</t>
        </is>
      </c>
      <c r="B36" s="24" t="inlineStr">
        <is>
          <t>B. Sözlük</t>
        </is>
      </c>
      <c r="C36" s="24" t="inlineStr">
        <is>
          <t>ingredient_aliases</t>
        </is>
      </c>
      <c r="D36" s="24" t="inlineStr">
        <is>
          <t>source</t>
        </is>
      </c>
      <c r="E36" s="24" t="inlineStr">
        <is>
          <t>TEXT</t>
        </is>
      </c>
      <c r="F36" s="24" t="inlineStr">
        <is>
          <t>manuel / kullanici_duzeltmesi / fis_ocr</t>
        </is>
      </c>
    </row>
    <row r="37" ht="16.6" customHeight="1">
      <c r="A37" s="25" t="inlineStr">
        <is>
          <t>SQLite</t>
        </is>
      </c>
      <c r="B37" s="26" t="inlineStr">
        <is>
          <t>B. Sözlük</t>
        </is>
      </c>
      <c r="C37" s="26" t="inlineStr">
        <is>
          <t>unmatched_ingredients</t>
        </is>
      </c>
      <c r="D37" s="26" t="inlineStr">
        <is>
          <t>normalized_text</t>
        </is>
      </c>
      <c r="E37" s="26" t="inlineStr">
        <is>
          <t>TEXT UNIQUE</t>
        </is>
      </c>
      <c r="F37" s="26" t="inlineStr">
        <is>
          <t>YENİ: eşleştirilemeyen metin. Sözlüğün büyüme motoru</t>
        </is>
      </c>
    </row>
    <row r="38" ht="16.6" customHeight="1">
      <c r="A38" s="23" t="inlineStr">
        <is>
          <t>SQLite</t>
        </is>
      </c>
      <c r="B38" s="24" t="inlineStr">
        <is>
          <t>B. Sözlük</t>
        </is>
      </c>
      <c r="C38" s="24" t="inlineStr">
        <is>
          <t>unmatched_ingredients</t>
        </is>
      </c>
      <c r="D38" s="24" t="inlineStr">
        <is>
          <t>occurrence_count</t>
        </is>
      </c>
      <c r="E38" s="24" t="inlineStr">
        <is>
          <t>INTEGER</t>
        </is>
      </c>
      <c r="F38" s="24" t="inlineStr">
        <is>
          <t>Kaç kez karşılaşıldı - sözlüğe ekleme önceliği</t>
        </is>
      </c>
    </row>
    <row r="39" ht="16.6" customHeight="1">
      <c r="A39" s="25" t="inlineStr">
        <is>
          <t>SQLite</t>
        </is>
      </c>
      <c r="B39" s="26" t="inlineStr">
        <is>
          <t>B. Sözlük</t>
        </is>
      </c>
      <c r="C39" s="26" t="inlineStr">
        <is>
          <t>unmatched_ingredients</t>
        </is>
      </c>
      <c r="D39" s="26" t="inlineStr">
        <is>
          <t>resolved_ingredient_id</t>
        </is>
      </c>
      <c r="E39" s="26" t="inlineStr">
        <is>
          <t>INTEGER FK</t>
        </is>
      </c>
      <c r="F39" s="26" t="inlineStr">
        <is>
          <t>Sözlüğe eklenince doldurulur</t>
        </is>
      </c>
    </row>
    <row r="40" ht="29.2" customHeight="1">
      <c r="A40" s="23" t="inlineStr">
        <is>
          <t>SQLite</t>
        </is>
      </c>
      <c r="B40" s="24" t="inlineStr">
        <is>
          <t>B. Sözlük</t>
        </is>
      </c>
      <c r="C40" s="24" t="inlineStr">
        <is>
          <t>products</t>
        </is>
      </c>
      <c r="D40" s="24" t="inlineStr">
        <is>
          <t>barcode</t>
        </is>
      </c>
      <c r="E40" s="24" t="inlineStr">
        <is>
          <t>TEXT UNIQUE</t>
        </is>
      </c>
      <c r="F40" s="24" t="inlineStr">
        <is>
          <t>Barkod önbelleği anahtarı. NULL olabilir (elle girilen ürün)</t>
        </is>
      </c>
    </row>
    <row r="41" ht="16.6" customHeight="1">
      <c r="A41" s="25" t="inlineStr">
        <is>
          <t>SQLite</t>
        </is>
      </c>
      <c r="B41" s="26" t="inlineStr">
        <is>
          <t>B. Sözlük</t>
        </is>
      </c>
      <c r="C41" s="26" t="inlineStr">
        <is>
          <t>products</t>
        </is>
      </c>
      <c r="D41" s="26" t="inlineStr">
        <is>
          <t>name / brand / image_url</t>
        </is>
      </c>
      <c r="E41" s="26" t="inlineStr">
        <is>
          <t>TEXT</t>
        </is>
      </c>
      <c r="F41" s="26" t="inlineStr">
        <is>
          <t>Open Food Facts'ten veya kullanıcıdan</t>
        </is>
      </c>
    </row>
    <row r="42" ht="16.6" customHeight="1">
      <c r="A42" s="23" t="inlineStr">
        <is>
          <t>SQLite</t>
        </is>
      </c>
      <c r="B42" s="24" t="inlineStr">
        <is>
          <t>B. Sözlük</t>
        </is>
      </c>
      <c r="C42" s="24" t="inlineStr">
        <is>
          <t>products</t>
        </is>
      </c>
      <c r="D42" s="24" t="inlineStr">
        <is>
          <t>ingredient_id</t>
        </is>
      </c>
      <c r="E42" s="24" t="inlineStr">
        <is>
          <t>INTEGER FK INDEX</t>
        </is>
      </c>
      <c r="F42" s="24" t="inlineStr">
        <is>
          <t>Ürünün hangi jenerik malzemeye karşılık geldiği</t>
        </is>
      </c>
    </row>
    <row r="43" ht="29.2" customHeight="1">
      <c r="A43" s="25" t="inlineStr">
        <is>
          <t>SQLite</t>
        </is>
      </c>
      <c r="B43" s="26" t="inlineStr">
        <is>
          <t>B. Sözlük</t>
        </is>
      </c>
      <c r="C43" s="26" t="inlineStr">
        <is>
          <t>products</t>
        </is>
      </c>
      <c r="D43" s="26" t="inlineStr">
        <is>
          <t>serving_size_g / serving_description</t>
        </is>
      </c>
      <c r="E43" s="26" t="inlineStr">
        <is>
          <t>REAL / TEXT</t>
        </is>
      </c>
      <c r="F43" s="26" t="inlineStr">
        <is>
          <t>'1 kutu (330 ml)' - Open Food Facts sağlıyor</t>
        </is>
      </c>
    </row>
    <row r="44" ht="29.2" customHeight="1">
      <c r="A44" s="23" t="inlineStr">
        <is>
          <t>SQLite</t>
        </is>
      </c>
      <c r="B44" s="24" t="inlineStr">
        <is>
          <t>B. Sözlük</t>
        </is>
      </c>
      <c r="C44" s="24" t="inlineStr">
        <is>
          <t>products</t>
        </is>
      </c>
      <c r="D44" s="24" t="inlineStr">
        <is>
          <t>calories/protein/carb/fat/fiber/sugar/sodium</t>
        </is>
      </c>
      <c r="E44" s="24" t="inlineStr">
        <is>
          <t>REAL</t>
        </is>
      </c>
      <c r="F44" s="24" t="inlineStr">
        <is>
          <t>100 g bazında besin değerleri</t>
        </is>
      </c>
    </row>
    <row r="45" ht="29.2" customHeight="1">
      <c r="A45" s="25" t="inlineStr">
        <is>
          <t>SQLite</t>
        </is>
      </c>
      <c r="B45" s="26" t="inlineStr">
        <is>
          <t>B. Sözlük</t>
        </is>
      </c>
      <c r="C45" s="26" t="inlineStr">
        <is>
          <t>products</t>
        </is>
      </c>
      <c r="D45" s="26" t="inlineStr">
        <is>
          <t>source / is_verified / fetched_at</t>
        </is>
      </c>
      <c r="E45" s="26" t="inlineStr">
        <is>
          <t>TEXT / BOOLEAN / DATETIME</t>
        </is>
      </c>
      <c r="F45" s="26" t="inlineStr">
        <is>
          <t>openfoodfacts / user / admin; önbellek tazeliği</t>
        </is>
      </c>
    </row>
    <row r="46" ht="16.6" customHeight="1">
      <c r="A46" s="23" t="inlineStr">
        <is>
          <t>SQLite</t>
        </is>
      </c>
      <c r="B46" s="24" t="inlineStr">
        <is>
          <t>C. Kiler</t>
        </is>
      </c>
      <c r="C46" s="24" t="inlineStr">
        <is>
          <t>pantry_items</t>
        </is>
      </c>
      <c r="D46" s="24" t="inlineStr">
        <is>
          <t>(user_id, ingredient_id)</t>
        </is>
      </c>
      <c r="E46" s="24" t="inlineStr">
        <is>
          <t>UNIQUE INDEX</t>
        </is>
      </c>
      <c r="F46" s="24" t="inlineStr">
        <is>
          <t>Kullanıcı başına malzeme başına TEK aktif satır</t>
        </is>
      </c>
    </row>
    <row r="47" ht="16.6" customHeight="1">
      <c r="A47" s="25" t="inlineStr">
        <is>
          <t>SQLite</t>
        </is>
      </c>
      <c r="B47" s="26" t="inlineStr">
        <is>
          <t>C. Kiler</t>
        </is>
      </c>
      <c r="C47" s="26" t="inlineStr">
        <is>
          <t>pantry_items</t>
        </is>
      </c>
      <c r="D47" s="26" t="inlineStr">
        <is>
          <t>quantity_base</t>
        </is>
      </c>
      <c r="E47" s="26" t="inlineStr">
        <is>
          <t>REAL CHECK &gt;= 0</t>
        </is>
      </c>
      <c r="F47" s="26" t="inlineStr">
        <is>
          <t>TEMEL birimde: mass-&gt;g, volume-&gt;ml, count-&gt;adet</t>
        </is>
      </c>
    </row>
    <row r="48" ht="16.6" customHeight="1">
      <c r="A48" s="23" t="inlineStr">
        <is>
          <t>SQLite</t>
        </is>
      </c>
      <c r="B48" s="24" t="inlineStr">
        <is>
          <t>C. Kiler</t>
        </is>
      </c>
      <c r="C48" s="24" t="inlineStr">
        <is>
          <t>pantry_items</t>
        </is>
      </c>
      <c r="D48" s="24" t="inlineStr">
        <is>
          <t>unit_type / display_unit</t>
        </is>
      </c>
      <c r="E48" s="24" t="inlineStr">
        <is>
          <t>TEXT CHECK</t>
        </is>
      </c>
      <c r="F48" s="24" t="inlineStr">
        <is>
          <t>Depolama temel birimde, gösterim display_unit ile</t>
        </is>
      </c>
    </row>
    <row r="49" ht="16.6" customHeight="1">
      <c r="A49" s="25" t="inlineStr">
        <is>
          <t>SQLite</t>
        </is>
      </c>
      <c r="B49" s="26" t="inlineStr">
        <is>
          <t>C. Kiler</t>
        </is>
      </c>
      <c r="C49" s="26" t="inlineStr">
        <is>
          <t>pantry_items</t>
        </is>
      </c>
      <c r="D49" s="26" t="inlineStr">
        <is>
          <t>min_threshold_base</t>
        </is>
      </c>
      <c r="E49" s="26" t="inlineStr">
        <is>
          <t>REAL</t>
        </is>
      </c>
      <c r="F49" s="26" t="inlineStr">
        <is>
          <t>R5: altına düşünce alışveriş listesi tetiklenir</t>
        </is>
      </c>
    </row>
    <row r="50" ht="16.6" customHeight="1">
      <c r="A50" s="23" t="inlineStr">
        <is>
          <t>SQLite</t>
        </is>
      </c>
      <c r="B50" s="24" t="inlineStr">
        <is>
          <t>C. Kiler</t>
        </is>
      </c>
      <c r="C50" s="24" t="inlineStr">
        <is>
          <t>pantry_items</t>
        </is>
      </c>
      <c r="D50" s="24" t="inlineStr">
        <is>
          <t>expiry_date</t>
        </is>
      </c>
      <c r="E50" s="24" t="inlineStr">
        <is>
          <t>DATE INDEX</t>
        </is>
      </c>
      <c r="F50" s="24" t="inlineStr">
        <is>
          <t>R18: SKT takibi ve 'yakında bozulacaklar'</t>
        </is>
      </c>
    </row>
    <row r="51" ht="29.2" customHeight="1">
      <c r="A51" s="25" t="inlineStr">
        <is>
          <t>SQLite</t>
        </is>
      </c>
      <c r="B51" s="26" t="inlineStr">
        <is>
          <t>C. Kiler</t>
        </is>
      </c>
      <c r="C51" s="26" t="inlineStr">
        <is>
          <t>pantry_items</t>
        </is>
      </c>
      <c r="D51" s="26" t="inlineStr">
        <is>
          <t>is_active / last_restocked_at</t>
        </is>
      </c>
      <c r="E51" s="26" t="inlineStr">
        <is>
          <t>BOOLEAN / DATETIME</t>
        </is>
      </c>
      <c r="F51" s="26" t="inlineStr">
        <is>
          <t>Tükendi ama geçmiş kalsın (soft delete)</t>
        </is>
      </c>
    </row>
    <row r="52" ht="29.2" customHeight="1">
      <c r="A52" s="23" t="inlineStr">
        <is>
          <t>SQLite</t>
        </is>
      </c>
      <c r="B52" s="24" t="inlineStr">
        <is>
          <t>C. Kiler</t>
        </is>
      </c>
      <c r="C52" s="24" t="inlineStr">
        <is>
          <t>pantry_events</t>
        </is>
      </c>
      <c r="D52" s="24" t="inlineStr">
        <is>
          <t>event_type</t>
        </is>
      </c>
      <c r="E52" s="24" t="inlineStr">
        <is>
          <t>TEXT CHECK</t>
        </is>
      </c>
      <c r="F52" s="24" t="inlineStr">
        <is>
          <t>YENİ: eklendi / arttirildi / tuketildi_tarif / tuketildi_manuel / bozuldu_atildi / duzeltme / silindi</t>
        </is>
      </c>
    </row>
    <row r="53" ht="16.6" customHeight="1">
      <c r="A53" s="25" t="inlineStr">
        <is>
          <t>SQLite</t>
        </is>
      </c>
      <c r="B53" s="26" t="inlineStr">
        <is>
          <t>C. Kiler</t>
        </is>
      </c>
      <c r="C53" s="26" t="inlineStr">
        <is>
          <t>pantry_events</t>
        </is>
      </c>
      <c r="D53" s="26" t="inlineStr">
        <is>
          <t>quantity_base_delta</t>
        </is>
      </c>
      <c r="E53" s="26" t="inlineStr">
        <is>
          <t>REAL NOT NULL</t>
        </is>
      </c>
      <c r="F53" s="26" t="inlineStr">
        <is>
          <t>Pozitif = giriş, negatif = çıkış. APPEND-ONLY</t>
        </is>
      </c>
    </row>
    <row r="54" ht="29.2" customHeight="1">
      <c r="A54" s="23" t="inlineStr">
        <is>
          <t>SQLite</t>
        </is>
      </c>
      <c r="B54" s="24" t="inlineStr">
        <is>
          <t>C. Kiler</t>
        </is>
      </c>
      <c r="C54" s="24" t="inlineStr">
        <is>
          <t>pantry_events</t>
        </is>
      </c>
      <c r="D54" s="24" t="inlineStr">
        <is>
          <t>recipe_id / estimated_cost</t>
        </is>
      </c>
      <c r="E54" s="24" t="inlineStr">
        <is>
          <t>TEXT / REAL</t>
        </is>
      </c>
      <c r="F54" s="24" t="inlineStr">
        <is>
          <t>Tarif kaynaklı tüketim; israf raporunun TL karşılığı</t>
        </is>
      </c>
    </row>
    <row r="55" ht="29.2" customHeight="1">
      <c r="A55" s="25" t="inlineStr">
        <is>
          <t>SQLite</t>
        </is>
      </c>
      <c r="B55" s="26" t="inlineStr">
        <is>
          <t>C. Kiler</t>
        </is>
      </c>
      <c r="C55" s="26" t="inlineStr">
        <is>
          <t>pantry_events</t>
        </is>
      </c>
      <c r="D55" s="26" t="inlineStr">
        <is>
          <t>(user_id, ingredient_id, created_at)</t>
        </is>
      </c>
      <c r="E55" s="26" t="inlineStr">
        <is>
          <t>INDEX</t>
        </is>
      </c>
      <c r="F55" s="26" t="inlineStr">
        <is>
          <t>Tüketim hızı tahmini bu indeksten çalışır</t>
        </is>
      </c>
    </row>
    <row r="56" ht="16.6" customHeight="1">
      <c r="A56" s="23" t="inlineStr">
        <is>
          <t>SQLite</t>
        </is>
      </c>
      <c r="B56" s="24" t="inlineStr">
        <is>
          <t>C. Kiler</t>
        </is>
      </c>
      <c r="C56" s="24" t="inlineStr">
        <is>
          <t>shopping_list_items</t>
        </is>
      </c>
      <c r="D56" s="24" t="inlineStr">
        <is>
          <t>source</t>
        </is>
      </c>
      <c r="E56" s="24" t="inlineStr">
        <is>
          <t>TEXT CHECK</t>
        </is>
      </c>
      <c r="F56" s="24" t="inlineStr">
        <is>
          <t>manuel / esik / tarif / ongoru - listeye nereden düştüğü</t>
        </is>
      </c>
    </row>
    <row r="57" ht="16.6" customHeight="1">
      <c r="A57" s="25" t="inlineStr">
        <is>
          <t>SQLite</t>
        </is>
      </c>
      <c r="B57" s="26" t="inlineStr">
        <is>
          <t>C. Kiler</t>
        </is>
      </c>
      <c r="C57" s="26" t="inlineStr">
        <is>
          <t>shopping_list_items</t>
        </is>
      </c>
      <c r="D57" s="26" t="inlineStr">
        <is>
          <t>(user_id, ingredient_id)</t>
        </is>
      </c>
      <c r="E57" s="26" t="inlineStr">
        <is>
          <t>UNIQUE INDEX</t>
        </is>
      </c>
      <c r="F57" s="26" t="inlineStr">
        <is>
          <t>Mükerrer ekleme engellenir, miktar birleştirilir</t>
        </is>
      </c>
    </row>
    <row r="58" ht="29.2" customHeight="1">
      <c r="A58" s="23" t="inlineStr">
        <is>
          <t>SQLite</t>
        </is>
      </c>
      <c r="B58" s="24" t="inlineStr">
        <is>
          <t>C. Kiler</t>
        </is>
      </c>
      <c r="C58" s="24" t="inlineStr">
        <is>
          <t>shopping_list_items</t>
        </is>
      </c>
      <c r="D58" s="24" t="inlineStr">
        <is>
          <t>is_checked / checked_at / item_note</t>
        </is>
      </c>
      <c r="E58" s="24" t="inlineStr">
        <is>
          <t>BOOLEAN / DATETIME / TEXT</t>
        </is>
      </c>
      <c r="F58" s="24" t="inlineStr">
        <is>
          <t>İşaretlenenler tek tuşla kilere aktarılır</t>
        </is>
      </c>
    </row>
    <row r="59" ht="16.6" customHeight="1">
      <c r="A59" s="25" t="inlineStr">
        <is>
          <t>SQLite</t>
        </is>
      </c>
      <c r="B59" s="26" t="inlineStr">
        <is>
          <t>D. Kalori</t>
        </is>
      </c>
      <c r="C59" s="26" t="inlineStr">
        <is>
          <t>meal_logs</t>
        </is>
      </c>
      <c r="D59" s="26" t="inlineStr">
        <is>
          <t>(user_id, logged_date)</t>
        </is>
      </c>
      <c r="E59" s="26" t="inlineStr">
        <is>
          <t>INDEX</t>
        </is>
      </c>
      <c r="F59" s="26" t="inlineStr">
        <is>
          <t>Kalori ekranının her açılışında çalışan sorgu</t>
        </is>
      </c>
    </row>
    <row r="60" ht="16.6" customHeight="1">
      <c r="A60" s="23" t="inlineStr">
        <is>
          <t>SQLite</t>
        </is>
      </c>
      <c r="B60" s="24" t="inlineStr">
        <is>
          <t>D. Kalori</t>
        </is>
      </c>
      <c r="C60" s="24" t="inlineStr">
        <is>
          <t>meal_logs</t>
        </is>
      </c>
      <c r="D60" s="24" t="inlineStr">
        <is>
          <t>meal_type / source</t>
        </is>
      </c>
      <c r="E60" s="24" t="inlineStr">
        <is>
          <t>TEXT CHECK</t>
        </is>
      </c>
      <c r="F60" s="24" t="inlineStr">
        <is>
          <t>kahvalti/ogle/aksam/atistirma; manuel/barkod/tarif</t>
        </is>
      </c>
    </row>
    <row r="61" ht="29.2" customHeight="1">
      <c r="A61" s="25" t="inlineStr">
        <is>
          <t>SQLite</t>
        </is>
      </c>
      <c r="B61" s="26" t="inlineStr">
        <is>
          <t>D. Kalori</t>
        </is>
      </c>
      <c r="C61" s="26" t="inlineStr">
        <is>
          <t>meal_logs</t>
        </is>
      </c>
      <c r="D61" s="26" t="inlineStr">
        <is>
          <t>item_name / calories / makrolar</t>
        </is>
      </c>
      <c r="E61" s="26" t="inlineStr">
        <is>
          <t>TEXT / REAL</t>
        </is>
      </c>
      <c r="F61" s="26" t="inlineStr">
        <is>
          <t>ANLIK GÖRÜNTÜ: kayıt anında kopyalanır, geçmiş bozulmaz</t>
        </is>
      </c>
    </row>
    <row r="62" ht="29.2" customHeight="1">
      <c r="A62" s="23" t="inlineStr">
        <is>
          <t>SQLite</t>
        </is>
      </c>
      <c r="B62" s="24" t="inlineStr">
        <is>
          <t>D. Kalori</t>
        </is>
      </c>
      <c r="C62" s="24" t="inlineStr">
        <is>
          <t>meal_logs</t>
        </is>
      </c>
      <c r="D62" s="24" t="inlineStr">
        <is>
          <t>recipe_id / product_id / ingredient_id</t>
        </is>
      </c>
      <c r="E62" s="24" t="inlineStr">
        <is>
          <t>TEXT / FK</t>
        </is>
      </c>
      <c r="F62" s="24" t="inlineStr">
        <is>
          <t>İzlenebilirlik referansları (biri dolu olur)</t>
        </is>
      </c>
    </row>
    <row r="63" ht="16.6" customHeight="1">
      <c r="A63" s="25" t="inlineStr">
        <is>
          <t>SQLite</t>
        </is>
      </c>
      <c r="B63" s="26" t="inlineStr">
        <is>
          <t>D. Kalori</t>
        </is>
      </c>
      <c r="C63" s="26" t="inlineStr">
        <is>
          <t>weight_logs</t>
        </is>
      </c>
      <c r="D63" s="26" t="inlineStr">
        <is>
          <t>(user_id, logged_date)</t>
        </is>
      </c>
      <c r="E63" s="26" t="inlineStr">
        <is>
          <t>UNIQUE INDEX</t>
        </is>
      </c>
      <c r="F63" s="26" t="inlineStr">
        <is>
          <t>OPSİYONEL: hedef ilerlemesi grafiği</t>
        </is>
      </c>
    </row>
    <row r="64" ht="29.2" customHeight="1">
      <c r="A64" s="23" t="inlineStr">
        <is>
          <t>SQLite</t>
        </is>
      </c>
      <c r="B64" s="24" t="inlineStr">
        <is>
          <t>E. Tarif</t>
        </is>
      </c>
      <c r="C64" s="24" t="inlineStr">
        <is>
          <t>recipe_feedback</t>
        </is>
      </c>
      <c r="D64" s="24" t="inlineStr">
        <is>
          <t>action</t>
        </is>
      </c>
      <c r="E64" s="24" t="inlineStr">
        <is>
          <t>TEXT CHECK</t>
        </is>
      </c>
      <c r="F64" s="24" t="inlineStr">
        <is>
          <t>begendim / begenmedim / yaptim / atladim. APPEND-ONLY olay günlüğü</t>
        </is>
      </c>
    </row>
    <row r="65" ht="29.2" customHeight="1">
      <c r="A65" s="25" t="inlineStr">
        <is>
          <t>SQLite</t>
        </is>
      </c>
      <c r="B65" s="26" t="inlineStr">
        <is>
          <t>E. Tarif</t>
        </is>
      </c>
      <c r="C65" s="26" t="inlineStr">
        <is>
          <t>recipe_feedback</t>
        </is>
      </c>
      <c r="D65" s="26" t="inlineStr">
        <is>
          <t>recipe_id / rating / servings_cooked</t>
        </is>
      </c>
      <c r="E65" s="26" t="inlineStr">
        <is>
          <t>TEXT / INTEGER / REAL</t>
        </is>
      </c>
      <c r="F65" s="26" t="inlineStr">
        <is>
          <t>MongoDB _id; CHECK(rating BETWEEN 1 AND 5)</t>
        </is>
      </c>
    </row>
    <row r="66" ht="16.6" customHeight="1">
      <c r="A66" s="23" t="inlineStr">
        <is>
          <t>SQLite</t>
        </is>
      </c>
      <c r="B66" s="24" t="inlineStr">
        <is>
          <t>E. Tarif</t>
        </is>
      </c>
      <c r="C66" s="24" t="inlineStr">
        <is>
          <t>recipe_favorites</t>
        </is>
      </c>
      <c r="D66" s="24" t="inlineStr">
        <is>
          <t>(user_id, recipe_id)</t>
        </is>
      </c>
      <c r="E66" s="24" t="inlineStr">
        <is>
          <t>COMPOSITE PK</t>
        </is>
      </c>
      <c r="F66" s="24" t="inlineStr">
        <is>
          <t>OPSİYONEL: kaydedilen tarifler</t>
        </is>
      </c>
    </row>
    <row r="67" ht="29.2" customHeight="1">
      <c r="A67" s="25" t="inlineStr">
        <is>
          <t>SQLite</t>
        </is>
      </c>
      <c r="B67" s="26" t="inlineStr">
        <is>
          <t>E. Tarif</t>
        </is>
      </c>
      <c r="C67" s="26" t="inlineStr">
        <is>
          <t>user_taste_weights</t>
        </is>
      </c>
      <c r="D67" s="26" t="inlineStr">
        <is>
          <t>(user_id, dimension, taste_key)</t>
        </is>
      </c>
      <c r="E67" s="26" t="inlineStr">
        <is>
          <t>UNIQUE INDEX</t>
        </is>
      </c>
      <c r="F67" s="26" t="inlineStr">
        <is>
          <t>Öğrenilen zevk vektörü (-1 .. +1)</t>
        </is>
      </c>
    </row>
    <row r="68" ht="29.2" customHeight="1">
      <c r="A68" s="23" t="inlineStr">
        <is>
          <t>SQLite</t>
        </is>
      </c>
      <c r="B68" s="24" t="inlineStr">
        <is>
          <t>E. Tarif</t>
        </is>
      </c>
      <c r="C68" s="24" t="inlineStr">
        <is>
          <t>user_taste_weights</t>
        </is>
      </c>
      <c r="D68" s="24" t="inlineStr">
        <is>
          <t>dimension / taste_key / weight</t>
        </is>
      </c>
      <c r="E68" s="24" t="inlineStr">
        <is>
          <t>TEXT / TEXT / REAL</t>
        </is>
      </c>
      <c r="F68" s="24" t="inlineStr">
        <is>
          <t>cuisine|diet_tag|ingredient; turk|vegan|kirmizi_mercimek</t>
        </is>
      </c>
    </row>
    <row r="69" ht="29.2" customHeight="1">
      <c r="A69" s="25" t="inlineStr">
        <is>
          <t>SQLite</t>
        </is>
      </c>
      <c r="B69" s="26" t="inlineStr">
        <is>
          <t>E. Tarif</t>
        </is>
      </c>
      <c r="C69" s="26" t="inlineStr">
        <is>
          <t>user_taste_weights</t>
        </is>
      </c>
      <c r="D69" s="26" t="inlineStr">
        <is>
          <t>(kural)</t>
        </is>
      </c>
      <c r="E69" s="26" t="inlineStr">
        <is>
          <t>-</t>
        </is>
      </c>
      <c r="F69" s="26" t="inlineStr">
        <is>
          <t>Öğrenilen tercih, beyan edilen diyet/alerjen kısıtını ASLA ezemez</t>
        </is>
      </c>
    </row>
    <row r="70" ht="29.2" customHeight="1">
      <c r="A70" s="23" t="inlineStr">
        <is>
          <t>SQLite</t>
        </is>
      </c>
      <c r="B70" s="24" t="inlineStr">
        <is>
          <t>F. AI</t>
        </is>
      </c>
      <c r="C70" s="24" t="inlineStr">
        <is>
          <t>chat_conversations</t>
        </is>
      </c>
      <c r="D70" s="24" t="inlineStr">
        <is>
          <t>(user_id, last_message_at)</t>
        </is>
      </c>
      <c r="E70" s="24" t="inlineStr">
        <is>
          <t>INDEX</t>
        </is>
      </c>
      <c r="F70" s="24" t="inlineStr">
        <is>
          <t>Sohbet oturumları</t>
        </is>
      </c>
    </row>
    <row r="71" ht="16.6" customHeight="1">
      <c r="A71" s="25" t="inlineStr">
        <is>
          <t>SQLite</t>
        </is>
      </c>
      <c r="B71" s="26" t="inlineStr">
        <is>
          <t>F. AI</t>
        </is>
      </c>
      <c r="C71" s="26" t="inlineStr">
        <is>
          <t>chat_messages</t>
        </is>
      </c>
      <c r="D71" s="26" t="inlineStr">
        <is>
          <t>role / content</t>
        </is>
      </c>
      <c r="E71" s="26" t="inlineStr">
        <is>
          <t>TEXT CHECK / TEXT</t>
        </is>
      </c>
      <c r="F71" s="26" t="inlineStr">
        <is>
          <t>user / assistant</t>
        </is>
      </c>
    </row>
    <row r="72" ht="16.6" customHeight="1">
      <c r="A72" s="23" t="inlineStr">
        <is>
          <t>SQLite</t>
        </is>
      </c>
      <c r="B72" s="24" t="inlineStr">
        <is>
          <t>F. AI</t>
        </is>
      </c>
      <c r="C72" s="24" t="inlineStr">
        <is>
          <t>chat_messages</t>
        </is>
      </c>
      <c r="D72" s="24" t="inlineStr">
        <is>
          <t>suggested_recipe_ids</t>
        </is>
      </c>
      <c r="E72" s="24" t="inlineStr">
        <is>
          <t>TEXT (JSON)</t>
        </is>
      </c>
      <c r="F72" s="24" t="inlineStr">
        <is>
          <t>LLM'in önerdiği MongoDB tarif _id dizisi</t>
        </is>
      </c>
    </row>
    <row r="73" ht="29.2" customHeight="1">
      <c r="A73" s="25" t="inlineStr">
        <is>
          <t>SQLite</t>
        </is>
      </c>
      <c r="B73" s="26" t="inlineStr">
        <is>
          <t>F. AI</t>
        </is>
      </c>
      <c r="C73" s="26" t="inlineStr">
        <is>
          <t>chat_messages</t>
        </is>
      </c>
      <c r="D73" s="26" t="inlineStr">
        <is>
          <t>prompt/completion_tokens, from_cache</t>
        </is>
      </c>
      <c r="E73" s="26" t="inlineStr">
        <is>
          <t>INTEGER / BOOLEAN</t>
        </is>
      </c>
      <c r="F73" s="26" t="inlineStr">
        <is>
          <t>W3-T16 maliyet ölçümü için</t>
        </is>
      </c>
    </row>
    <row r="74" ht="29.2" customHeight="1">
      <c r="A74" s="23" t="inlineStr">
        <is>
          <t>SQLite</t>
        </is>
      </c>
      <c r="B74" s="24" t="inlineStr">
        <is>
          <t>F. AI</t>
        </is>
      </c>
      <c r="C74" s="24" t="inlineStr">
        <is>
          <t>llm_cache</t>
        </is>
      </c>
      <c r="D74" s="24" t="inlineStr">
        <is>
          <t>cache_key</t>
        </is>
      </c>
      <c r="E74" s="24" t="inlineStr">
        <is>
          <t>TEXT UNIQUE INDEX</t>
        </is>
      </c>
      <c r="F74" s="24" t="inlineStr">
        <is>
          <t>sha256(normalize_soru + kiler_parmak_izi + profil_parmak_izi)</t>
        </is>
      </c>
    </row>
    <row r="75" ht="29.2" customHeight="1">
      <c r="A75" s="25" t="inlineStr">
        <is>
          <t>SQLite</t>
        </is>
      </c>
      <c r="B75" s="26" t="inlineStr">
        <is>
          <t>F. AI</t>
        </is>
      </c>
      <c r="C75" s="26" t="inlineStr">
        <is>
          <t>llm_cache</t>
        </is>
      </c>
      <c r="D75" s="26" t="inlineStr">
        <is>
          <t>response_json / hit_count / expires_at</t>
        </is>
      </c>
      <c r="E75" s="26" t="inlineStr">
        <is>
          <t>TEXT / INTEGER / DATETIME</t>
        </is>
      </c>
      <c r="F75" s="26" t="inlineStr">
        <is>
          <t>MALİYET DÜŞÜRME: aynı soru API'ye gitmez</t>
        </is>
      </c>
    </row>
    <row r="76" ht="16.6" customHeight="1">
      <c r="A76" s="23" t="inlineStr">
        <is>
          <t>MongoDB</t>
        </is>
      </c>
      <c r="B76" s="24" t="inlineStr">
        <is>
          <t>G. Tarifler</t>
        </is>
      </c>
      <c r="C76" s="24" t="inlineStr">
        <is>
          <t>recipes</t>
        </is>
      </c>
      <c r="D76" s="24" t="inlineStr">
        <is>
          <t>_id</t>
        </is>
      </c>
      <c r="E76" s="24" t="inlineStr">
        <is>
          <t>ObjectId</t>
        </is>
      </c>
      <c r="F76" s="24" t="inlineStr">
        <is>
          <t>SQLite tarafında recipe_id (TEXT) olarak referanslanır</t>
        </is>
      </c>
    </row>
    <row r="77" ht="16.6" customHeight="1">
      <c r="A77" s="25" t="inlineStr">
        <is>
          <t>MongoDB</t>
        </is>
      </c>
      <c r="B77" s="26" t="inlineStr">
        <is>
          <t>G. Tarifler</t>
        </is>
      </c>
      <c r="C77" s="26" t="inlineStr">
        <is>
          <t>recipes</t>
        </is>
      </c>
      <c r="D77" s="26" t="inlineStr">
        <is>
          <t>title / slug / image_url</t>
        </is>
      </c>
      <c r="E77" s="26" t="inlineStr">
        <is>
          <t>String</t>
        </is>
      </c>
      <c r="F77" s="26" t="inlineStr">
        <is>
          <t>Kart görünümünün temel alanları</t>
        </is>
      </c>
    </row>
    <row r="78" ht="29.2" customHeight="1">
      <c r="A78" s="23" t="inlineStr">
        <is>
          <t>MongoDB</t>
        </is>
      </c>
      <c r="B78" s="24" t="inlineStr">
        <is>
          <t>G. Tarifler</t>
        </is>
      </c>
      <c r="C78" s="24" t="inlineStr">
        <is>
          <t>recipes</t>
        </is>
      </c>
      <c r="D78" s="24" t="inlineStr">
        <is>
          <t>ingredients[]</t>
        </is>
      </c>
      <c r="E78" s="24" t="inlineStr">
        <is>
          <t>Array&lt;Object&gt;</t>
        </is>
      </c>
      <c r="F78" s="24" t="inlineStr">
        <is>
          <t>{name, canonical_name, quantity, unit, optional} - eşleştirme bu dizide</t>
        </is>
      </c>
    </row>
    <row r="79" ht="16.6" customHeight="1">
      <c r="A79" s="25" t="inlineStr">
        <is>
          <t>MongoDB</t>
        </is>
      </c>
      <c r="B79" s="26" t="inlineStr">
        <is>
          <t>G. Tarifler</t>
        </is>
      </c>
      <c r="C79" s="26" t="inlineStr">
        <is>
          <t>recipes</t>
        </is>
      </c>
      <c r="D79" s="26" t="inlineStr">
        <is>
          <t>steps[]</t>
        </is>
      </c>
      <c r="E79" s="26" t="inlineStr">
        <is>
          <t>Array&lt;String&gt;</t>
        </is>
      </c>
      <c r="F79" s="26" t="inlineStr">
        <is>
          <t>Numaralı yapılış adımları</t>
        </is>
      </c>
    </row>
    <row r="80" ht="16.6" customHeight="1">
      <c r="A80" s="23" t="inlineStr">
        <is>
          <t>MongoDB</t>
        </is>
      </c>
      <c r="B80" s="24" t="inlineStr">
        <is>
          <t>G. Tarifler</t>
        </is>
      </c>
      <c r="C80" s="24" t="inlineStr">
        <is>
          <t>recipes</t>
        </is>
      </c>
      <c r="D80" s="24" t="inlineStr">
        <is>
          <t>calories_per_serving</t>
        </is>
      </c>
      <c r="E80" s="24" t="inlineStr">
        <is>
          <t>Number INDEX</t>
        </is>
      </c>
      <c r="F80" s="24" t="inlineStr">
        <is>
          <t>Kalan kaloriye göre filtreleme için indekslenir</t>
        </is>
      </c>
    </row>
    <row r="81" ht="16.6" customHeight="1">
      <c r="A81" s="25" t="inlineStr">
        <is>
          <t>MongoDB</t>
        </is>
      </c>
      <c r="B81" s="26" t="inlineStr">
        <is>
          <t>G. Tarifler</t>
        </is>
      </c>
      <c r="C81" s="26" t="inlineStr">
        <is>
          <t>recipes</t>
        </is>
      </c>
      <c r="D81" s="26" t="inlineStr">
        <is>
          <t>macros</t>
        </is>
      </c>
      <c r="E81" s="26" t="inlineStr">
        <is>
          <t>Object</t>
        </is>
      </c>
      <c r="F81" s="26" t="inlineStr">
        <is>
          <t>{protein, carb, fat, fiber} - gram cinsinden</t>
        </is>
      </c>
    </row>
    <row r="82" ht="16.6" customHeight="1">
      <c r="A82" s="23" t="inlineStr">
        <is>
          <t>MongoDB</t>
        </is>
      </c>
      <c r="B82" s="24" t="inlineStr">
        <is>
          <t>G. Tarifler</t>
        </is>
      </c>
      <c r="C82" s="24" t="inlineStr">
        <is>
          <t>recipes</t>
        </is>
      </c>
      <c r="D82" s="24" t="inlineStr">
        <is>
          <t>servings</t>
        </is>
      </c>
      <c r="E82" s="24" t="inlineStr">
        <is>
          <t>Number</t>
        </is>
      </c>
      <c r="F82" s="24" t="inlineStr">
        <is>
          <t>Porsiyon ölçekleme çarpanının paydası</t>
        </is>
      </c>
    </row>
    <row r="83" ht="29.2" customHeight="1">
      <c r="A83" s="25" t="inlineStr">
        <is>
          <t>MongoDB</t>
        </is>
      </c>
      <c r="B83" s="26" t="inlineStr">
        <is>
          <t>G. Tarifler</t>
        </is>
      </c>
      <c r="C83" s="26" t="inlineStr">
        <is>
          <t>recipes</t>
        </is>
      </c>
      <c r="D83" s="26" t="inlineStr">
        <is>
          <t>prep_time / cook_time / difficulty</t>
        </is>
      </c>
      <c r="E83" s="26" t="inlineStr">
        <is>
          <t>Number / String</t>
        </is>
      </c>
      <c r="F83" s="26" t="inlineStr">
        <is>
          <t>Dakika; kolay/orta/zor</t>
        </is>
      </c>
    </row>
    <row r="84" ht="29.2" customHeight="1">
      <c r="A84" s="23" t="inlineStr">
        <is>
          <t>MongoDB</t>
        </is>
      </c>
      <c r="B84" s="24" t="inlineStr">
        <is>
          <t>G. Tarifler</t>
        </is>
      </c>
      <c r="C84" s="24" t="inlineStr">
        <is>
          <t>recipes</t>
        </is>
      </c>
      <c r="D84" s="24" t="inlineStr">
        <is>
          <t>diet_tags[]</t>
        </is>
      </c>
      <c r="E84" s="24" t="inlineStr">
        <is>
          <t>Array&lt;String&gt; INDEX</t>
        </is>
      </c>
      <c r="F84" s="24" t="inlineStr">
        <is>
          <t>vegan / vejetaryen / glutensiz - $in filtresi</t>
        </is>
      </c>
    </row>
    <row r="85" ht="16.6" customHeight="1">
      <c r="A85" s="25" t="inlineStr">
        <is>
          <t>MongoDB</t>
        </is>
      </c>
      <c r="B85" s="26" t="inlineStr">
        <is>
          <t>G. Tarifler</t>
        </is>
      </c>
      <c r="C85" s="26" t="inlineStr">
        <is>
          <t>recipes</t>
        </is>
      </c>
      <c r="D85" s="26" t="inlineStr">
        <is>
          <t>allergens[]</t>
        </is>
      </c>
      <c r="E85" s="26" t="inlineStr">
        <is>
          <t>Array&lt;String&gt;</t>
        </is>
      </c>
      <c r="F85" s="26" t="inlineStr">
        <is>
          <t>GÜVENLİK KRİTİK - $nin filtresi</t>
        </is>
      </c>
    </row>
    <row r="86" ht="29.2" customHeight="1">
      <c r="A86" s="23" t="inlineStr">
        <is>
          <t>MongoDB</t>
        </is>
      </c>
      <c r="B86" s="24" t="inlineStr">
        <is>
          <t>G. Tarifler</t>
        </is>
      </c>
      <c r="C86" s="24" t="inlineStr">
        <is>
          <t>recipes</t>
        </is>
      </c>
      <c r="D86" s="24" t="inlineStr">
        <is>
          <t>cuisine</t>
        </is>
      </c>
      <c r="E86" s="24" t="inlineStr">
        <is>
          <t>String</t>
        </is>
      </c>
      <c r="F86" s="24" t="inlineStr">
        <is>
          <t>turk / italyan / uzakdogu - öğrenen profil bu etiketi kullanır</t>
        </is>
      </c>
    </row>
    <row r="89" ht="14" customHeight="1">
      <c r="A89" s="39" t="inlineStr">
        <is>
          <t>SQLITE TUZAKLARI (W1-T05 / W1-T06'da mutlaka uygulanacak):</t>
        </is>
      </c>
    </row>
    <row r="90" ht="26" customHeight="1">
      <c r="A90" s="21" t="inlineStr">
        <is>
          <t>1) Foreign key zorlamasi VARSAYILAN OLARAK KAPALI. session.py'ye 'PRAGMA foreign_keys=ON' event listener eklenmezse ON DELETE CASCADE calismaz ve KVKK veri imhasi saglanamaz.</t>
        </is>
      </c>
    </row>
    <row r="91" ht="14" customHeight="1">
      <c r="A91" s="21" t="inlineStr">
        <is>
          <t>2) Native ENUM yok. SQLAlchemy'de Enum(..., native_enum=False) ile TEXT + CHECK kisiti olarak uretilir.</t>
        </is>
      </c>
    </row>
    <row r="92" ht="14" customHeight="1">
      <c r="A92" s="21" t="inlineStr">
        <is>
          <t>3) ALTER TABLE cok kisitli. Alembic env.py icinde render_as_batch=True ZORUNLU; yoksa 3. haftada sutun eklerken migration patlar.</t>
        </is>
      </c>
    </row>
    <row r="93" ht="14" customHeight="1">
      <c r="A93" s="21" t="inlineStr">
        <is>
          <t>4) Native DATE tipi yok. SQLAlchemy Date/DateTime tipleri kullanilmali, elle string yazilmamali.</t>
        </is>
      </c>
    </row>
  </sheetData>
  <autoFilter ref="A3:F86"/>
  <mergeCells count="7">
    <mergeCell ref="A2:F2"/>
    <mergeCell ref="A90:F90"/>
    <mergeCell ref="A93:F93"/>
    <mergeCell ref="A1:F1"/>
    <mergeCell ref="A89:F89"/>
    <mergeCell ref="A92:F92"/>
    <mergeCell ref="A91:F91"/>
  </mergeCells>
  <pageMargins left="0.75" right="0.75" top="1" bottom="1" header="0.5" footer="0.5"/>
</worksheet>
</file>

<file path=xl/worksheets/sheet7.xml><?xml version="1.0" encoding="utf-8"?>
<worksheet xmlns="http://schemas.openxmlformats.org/spreadsheetml/2006/main">
  <sheetPr>
    <tabColor rgb="00C55A11"/>
    <outlinePr summaryBelow="1" summaryRight="1"/>
    <pageSetUpPr/>
  </sheetPr>
  <dimension ref="A1:D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42" customWidth="1" min="2" max="2"/>
    <col width="50" customWidth="1" min="3" max="3"/>
    <col width="54" customWidth="1" min="4" max="4"/>
  </cols>
  <sheetData>
    <row r="1" ht="30" customHeight="1">
      <c r="A1" s="1" t="inlineStr">
        <is>
          <t>RAKIP ANALIZI VE PAZARDAKI BOSLUKLAR</t>
        </is>
      </c>
    </row>
    <row r="2" ht="22" customHeight="1">
      <c r="A2" s="2" t="inlineStr">
        <is>
          <t>Rakipler ya kalori sayiyor ya tarif veriyor. Bu uygulama 'Mutfak Envanteri + Hedef Kalori + Gida Israfi' kesisiminde calisir.</t>
        </is>
      </c>
    </row>
    <row r="3" ht="32" customHeight="1">
      <c r="A3" s="7" t="inlineStr">
        <is>
          <t>Rakip Uygulama</t>
        </is>
      </c>
      <c r="B3" s="7" t="inlineStr">
        <is>
          <t>Güçlü Yönleri</t>
        </is>
      </c>
      <c r="C3" s="7" t="inlineStr">
        <is>
          <t>Zayıf Yönleri (Senin Fırsatın)</t>
        </is>
      </c>
      <c r="D3" s="7" t="inlineStr">
        <is>
          <t>Bu Projede Nasıl Fark Yaratılıyor?</t>
        </is>
      </c>
    </row>
    <row r="4" ht="54.4" customHeight="1">
      <c r="A4" s="24" t="inlineStr">
        <is>
          <t>MyFitnessPal / Yazio</t>
        </is>
      </c>
      <c r="B4" s="24" t="inlineStr">
        <is>
          <t>Dev kalori ve barkod veritabanı, olgun kullanıcı kitlesi, güçlü makro takibi ve alışkanlık serileri.</t>
        </is>
      </c>
      <c r="C4" s="24" t="inlineStr">
        <is>
          <t>'Evde ne var, ne pişirebilirim?' mantığı sıfır. Sadece yediğini girersin; kiler/envanter yönetimi yok. Gıda israfına dair hiçbir şey sunmaz.</t>
        </is>
      </c>
      <c r="D4" s="24" t="inlineStr">
        <is>
          <t>Kiler envanteri birinci sınıf özellik: barkodla giren ürün stoktan düşer, eşik altına inince alışveriş listesine düşer. Her hareket pantry_events'e yazıldığı için israf raporu ve tüketim hızı tahmini üretilebilir.</t>
        </is>
      </c>
    </row>
    <row r="5" ht="41.8" customHeight="1">
      <c r="A5" s="26" t="inlineStr">
        <is>
          <t>SuperCook / Yummly</t>
        </is>
      </c>
      <c r="B5" s="26" t="inlineStr">
        <is>
          <t>Eldeki malzemelere göre çok iyi tarif eşleştirme, geniş tarif havuzu, malzeme bazlı arama.</t>
        </is>
      </c>
      <c r="C5" s="26" t="inlineStr">
        <is>
          <t>Kalori ve makro besin takibi çok zayıf. Alışveriş fişi tarama gibi otomatik envanter araçları yok; malzemeleri elle işaretlemek zahmetli.</t>
        </is>
      </c>
      <c r="D5" s="26" t="inlineStr">
        <is>
          <t>Malzeme girişi barkod (MVP) ve ileride fiş OCR (V3) ile otomatikleşir. Tarif önerisi kalan günlük kaloriye, diyet tercihine ve alerjenlere göre süzülür.</t>
        </is>
      </c>
    </row>
    <row r="6" ht="54.4" customHeight="1">
      <c r="A6" s="24" t="inlineStr">
        <is>
          <t>FatSecret</t>
        </is>
      </c>
      <c r="B6" s="24" t="inlineStr">
        <is>
          <t>Topluluk desteği, ücretsiz kullanım, geniş gıda veritabanı ve kilo günlüğü.</t>
        </is>
      </c>
      <c r="C6" s="24" t="inlineStr">
        <is>
          <t>Kişiselleştirilmiş akıllı asistan (chatbot) deneyimi yok; arayüz eski ve öneri motoru pasif.</t>
        </is>
      </c>
      <c r="D6" s="24" t="inlineStr">
        <is>
          <t>Doğal dilde konuşan RAG tabanlı asistan: 'Bugün hafif bir şey yemek istiyorum' -&gt; kilerdeki malzeme + kalan kalori + tercihlerle GERÇEK tarif önerisi (uydurma yok, yalnızca veritabanındaki tarifler).</t>
        </is>
      </c>
    </row>
    <row r="7" ht="29.2" customHeight="1">
      <c r="A7" s="26" t="inlineStr">
        <is>
          <t>Yerel tarif uygulamaları</t>
        </is>
      </c>
      <c r="B7" s="26" t="inlineStr">
        <is>
          <t>Türkçe içerik zenginliği, yerel mutfağa hakimiyet, güçlü topluluk.</t>
        </is>
      </c>
      <c r="C7" s="26" t="inlineStr">
        <is>
          <t>Kalori/beslenme takibi ve kiler yönetimi yok; öneriler kişiselleştirilmiyor, envanterle bağlantısız.</t>
        </is>
      </c>
      <c r="D7" s="26" t="inlineStr">
        <is>
          <t>Türk mutfağı tarifleri seed veriye dahil ediliyor ve kişisel profil + kiler verisiyle birleştiriliyor.</t>
        </is>
      </c>
    </row>
    <row r="8" ht="54.4" customHeight="1">
      <c r="A8" s="24" t="inlineStr">
        <is>
          <t>Global rakiplerin ortak zafiyeti</t>
        </is>
      </c>
      <c r="B8" s="24" t="inlineStr">
        <is>
          <t>-</t>
        </is>
      </c>
      <c r="C8" s="24" t="inlineStr">
        <is>
          <t>Türkiye pazarındaki yerel ürünlerin (Torku, Ülker, yerel market barkodları ve fişleri) tanınması çok kötü.</t>
        </is>
      </c>
      <c r="D8" s="24" t="inlineStr">
        <is>
          <t>Türkçe ürün havuzu kullanıcı katkısıyla (products.source='user') büyütülüyor; unmatched_ingredients ile sözlük kendini besliyor. V3'te Türkçe fiş okuma ile lokal pazarda belirgin üstünlük.</t>
        </is>
      </c>
    </row>
    <row r="9" ht="54.4" customHeight="1">
      <c r="A9" s="40" t="inlineStr">
        <is>
          <t>BENZERSIZ DEGER ONERISI (USP)</t>
        </is>
      </c>
      <c r="B9" s="40" t="inlineStr">
        <is>
          <t>Kiler + Kalori + Yapay Zeka + Gıda İsrafı dörtlüsünün tek uygulamada birleşmesi.</t>
        </is>
      </c>
      <c r="C9" s="40" t="inlineStr">
        <is>
          <t>Rakiplerin hiçbiri bu dört ekseni aynı anda kapatmıyor.</t>
        </is>
      </c>
      <c r="D9" s="40" t="inlineStr">
        <is>
          <t>'Elimdeki malzemelerle, kalori hedefimi aşmadan, sevdiğim tarzda ne pişirebilirim?' sorusuna tek ekranda cevap veren; kullandıkça öğrenen; ve 'bu ay 340 TL çöpe attın' diyerek gıda israfını görünür kılan asistan.</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tabColor rgb="00C00000"/>
    <outlinePr summaryBelow="1" summaryRight="1"/>
    <pageSetUpPr/>
  </sheetPr>
  <dimension ref="A1:E1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40" customWidth="1" min="4" max="4"/>
    <col width="60" customWidth="1" min="5" max="5"/>
  </cols>
  <sheetData>
    <row r="1" ht="30" customHeight="1">
      <c r="A1" s="1" t="inlineStr">
        <is>
          <t>RISK YONETIMI  |  20 Gunluk Sprintte Plani Bozabilecek Maddeler</t>
        </is>
      </c>
    </row>
    <row r="2" ht="22" customHeight="1">
      <c r="A2" s="2" t="inlineStr">
        <is>
          <t>Olasilik ve etki: Dusuk / Orta / Yuksek. Her risk icin erken uyari sinyali ve B plani tanimlanmistir.</t>
        </is>
      </c>
    </row>
    <row r="3" ht="32" customHeight="1">
      <c r="A3" s="7" t="inlineStr">
        <is>
          <t>Risk</t>
        </is>
      </c>
      <c r="B3" s="7" t="inlineStr">
        <is>
          <t>Olasılık</t>
        </is>
      </c>
      <c r="C3" s="7" t="inlineStr">
        <is>
          <t>Etki</t>
        </is>
      </c>
      <c r="D3" s="7" t="inlineStr">
        <is>
          <t>Erken Uyarı Sinyali</t>
        </is>
      </c>
      <c r="E3" s="7" t="inlineStr">
        <is>
          <t>Önlem / B Planı</t>
        </is>
      </c>
    </row>
    <row r="4" ht="92.2" customHeight="1">
      <c r="A4" s="24" t="inlineStr">
        <is>
          <t>Fiziksel Android test cihazı olmaması</t>
        </is>
      </c>
      <c r="B4" s="23" t="inlineStr">
        <is>
          <t>Yüksek</t>
        </is>
      </c>
      <c r="C4" s="23" t="inlineStr">
        <is>
          <t>Yüksek</t>
        </is>
      </c>
      <c r="D4" s="24" t="inlineStr">
        <is>
          <t>Elde yalnızca iPhone var; Windows'ta iOS derlenemiyor, yani iPhone bu projede kullanılamıyor.</t>
        </is>
      </c>
      <c r="E4" s="24" t="inlineStr">
        <is>
          <t>Üç katmanlı çözüm: (1) W1-T13'te BarcodeScanner soyutlaması + FakeBarcodeScanner ile geliştirme cihazdan bağımsız hale getirildi, (2) Android emülatörü Camera-&gt;Back: Webcam0 ayarıyla gerçek barkod okuyabiliyor, (3) mobile_scanner analyzeImage ile galeriden barkod okunarak ML Kit yolu doğrulanıyor. W4-T11 için bir günlüğüne gerçek cihaz ödünç alınacak (öncelikle staj yerinden istenecek).</t>
        </is>
      </c>
    </row>
    <row r="5" ht="67" customHeight="1">
      <c r="A5" s="26" t="inlineStr">
        <is>
          <t>Dart / Flutter'a alışma süresi</t>
        </is>
      </c>
      <c r="B5" s="25" t="inlineStr">
        <is>
          <t>Orta</t>
        </is>
      </c>
      <c r="C5" s="25" t="inlineStr">
        <is>
          <t>Yüksek</t>
        </is>
      </c>
      <c r="D5" s="26" t="inlineStr">
        <is>
          <t>İlk 2 günde basit bir ekranı beklenenden uzun sürede tamamlıyorsan.</t>
        </is>
      </c>
      <c r="E5" s="26" t="inlineStr">
        <is>
          <t>Backend (Python/FastAPI) tarafı planın %60'ı ve tamamen tanıdık; sıkışma olursa mobil taraf sadeleştirilir (animasyon, karanlık mod, shimmer çıkarılır), algoritma ve API korunur. Material 3'ün yerleşik bileşenleri özel widget yazma ihtiyacını azaltıyor.</t>
        </is>
      </c>
    </row>
    <row r="6" ht="54.4" customHeight="1">
      <c r="A6" s="24" t="inlineStr">
        <is>
          <t>Native build / bağımlılık hataları</t>
        </is>
      </c>
      <c r="B6" s="23" t="inlineStr">
        <is>
          <t>Orta</t>
        </is>
      </c>
      <c r="C6" s="23" t="inlineStr">
        <is>
          <t>Yüksek</t>
        </is>
      </c>
      <c r="D6" s="24" t="inlineStr">
        <is>
          <t>flutter run ilk kez 30 dakikadan uzun sürüyor veya Gradle hatası veriyorsa.</t>
        </is>
      </c>
      <c r="E6" s="24" t="inlineStr">
        <is>
          <t>Flutter'a geçiş bu riski zaten belirgin şekilde azalttı (Expo Dev Client zinciri yok). Sıkışma olursa flutter clean + pub cache repair; paket sürümleri pubspec.lock ile sabitlenir ve sprint boyunca flutter upgrade ÇALIŞTIRILMAZ.</t>
        </is>
      </c>
    </row>
    <row r="7" ht="54.4" customHeight="1">
      <c r="A7" s="26" t="inlineStr">
        <is>
          <t>Malzeme eşleştirmesinin yanlış sonuç vermesi</t>
        </is>
      </c>
      <c r="B7" s="25" t="inlineStr">
        <is>
          <t>Yüksek</t>
        </is>
      </c>
      <c r="C7" s="25" t="inlineStr">
        <is>
          <t>Yüksek</t>
        </is>
      </c>
      <c r="D7" s="26" t="inlineStr">
        <is>
          <t>Test senaryolarında eşleşme doğruluğu %85'in altına düşerse.</t>
        </is>
      </c>
      <c r="E7" s="26" t="inlineStr">
        <is>
          <t>Üç aşamalı eşleştirme (canonical -&gt; alias -&gt; rapidfuzz). W3-T02A ile eşleşmeyenler unmatched_ingredients'a yazılıp hafta sonu sözlüğe ekleniyor. Eşleşmeyen malzeme GRİ gösteriliyor; kullanıcı yanıltılmıyor.</t>
        </is>
      </c>
    </row>
    <row r="8" ht="41.8" customHeight="1">
      <c r="A8" s="24" t="inlineStr">
        <is>
          <t>Open Food Facts'te Türk ürünlerinin bulunamaması</t>
        </is>
      </c>
      <c r="B8" s="23" t="inlineStr">
        <is>
          <t>Yüksek</t>
        </is>
      </c>
      <c r="C8" s="23" t="inlineStr">
        <is>
          <t>Orta</t>
        </is>
      </c>
      <c r="D8" s="24" t="inlineStr">
        <is>
          <t>Test edilen 10 yerel barkoddan 4'ünden azı sonuç dönüyorsa.</t>
        </is>
      </c>
      <c r="E8" s="24" t="inlineStr">
        <is>
          <t>W2-T05 manuel kayıt fallback'i planda. Demo için 20 popüler ürün önceden products tablosuna seed edilir; sunumda 'boş sonuç' riski sıfırlanır.</t>
        </is>
      </c>
    </row>
    <row r="9" ht="67" customHeight="1">
      <c r="A9" s="26" t="inlineStr">
        <is>
          <t>Birim dönüşümü hataları</t>
        </is>
      </c>
      <c r="B9" s="25" t="inlineStr">
        <is>
          <t>Orta</t>
        </is>
      </c>
      <c r="C9" s="25" t="inlineStr">
        <is>
          <t>Yüksek</t>
        </is>
      </c>
      <c r="D9" s="26" t="inlineStr">
        <is>
          <t>Stok düşümünde negatif miktar veya beklenmedik büyüklükte düşüm görülürse.</t>
        </is>
      </c>
      <c r="E9" s="26" t="inlineStr">
        <is>
          <t>Tüm miktarlar tek temel birimde (g/ml/adet) saklanıyor; dönüşüm tek fonksiyonda toplanıp W4-T09'da 20+ vaka ile test ediliyor. CHECK(quantity_base &gt;= 0) ile negatif stok DB seviyesinde engelleniyor. pantry_events delta toplamı ile pantry_items tutarlılığı test ediliyor.</t>
        </is>
      </c>
    </row>
    <row r="10" ht="54.4" customHeight="1">
      <c r="A10" s="24" t="inlineStr">
        <is>
          <t>LLM kotası, gecikmesi veya yanıt kalitesi</t>
        </is>
      </c>
      <c r="B10" s="23" t="inlineStr">
        <is>
          <t>Orta</t>
        </is>
      </c>
      <c r="C10" s="23" t="inlineStr">
        <is>
          <t>Yüksek</t>
        </is>
      </c>
      <c r="D10" s="24" t="inlineStr">
        <is>
          <t>Yanıt süresi 5 saniyeyi geçiyor veya JSON formatı bozuk dönüyorsa.</t>
        </is>
      </c>
      <c r="E10" s="24" t="inlineStr">
        <is>
          <t>LLM katmanı soyutlandı; Groq -&gt; OpenAI geçişi tek satır. JSON parse hatasında kural tabanlı öneri listesine düşülür - chatbot çökmez, sadece daha az sohbet eder. llm_cache ile tekrarlayan sorular API'ye hiç gitmez.</t>
        </is>
      </c>
    </row>
    <row r="11" ht="54.4" customHeight="1">
      <c r="A11" s="26" t="inlineStr">
        <is>
          <t>Tarif veri setinin kalitesiz/eksik çıkması</t>
        </is>
      </c>
      <c r="B11" s="25" t="inlineStr">
        <is>
          <t>Orta</t>
        </is>
      </c>
      <c r="C11" s="25" t="inlineStr">
        <is>
          <t>Yüksek</t>
        </is>
      </c>
      <c r="D11" s="26" t="inlineStr">
        <is>
          <t>Seed sonrası tariflerin %30'undan fazlasında kalori veya canonical_name eşlemesi boşsa.</t>
        </is>
      </c>
      <c r="E11" s="26" t="inlineStr">
        <is>
          <t>Kalite eşiğini geçemeyen tarifler ayıklanır; 40 Türk tarifi elle girildiği için demo her koşulda çalışır. Kalori boşsa ingredients tablosundaki 100 g değerlerinden yaklaşık hesaplanır.</t>
        </is>
      </c>
    </row>
    <row r="12" ht="54.4" customHeight="1">
      <c r="A12" s="24" t="inlineStr">
        <is>
          <t>Kapsam kayması (scope creep)</t>
        </is>
      </c>
      <c r="B12" s="23" t="inlineStr">
        <is>
          <t>Yüksek</t>
        </is>
      </c>
      <c r="C12" s="23" t="inlineStr">
        <is>
          <t>Yüksek</t>
        </is>
      </c>
      <c r="D12" s="24" t="inlineStr">
        <is>
          <t>Plan dışı bir özellik için 'sadece yarım gün sürer' denildiğinde.</t>
        </is>
      </c>
      <c r="E12" s="24" t="inlineStr">
        <is>
          <t>Fiş OCR, görsel obje tanıma, iOS sürümü ve V2 fikirleri yazılı olarak backlog'a alındı. Yeni her fikir doğrudan V2-V3 Backlog sayfasına yazılır, sprint'e alınmaz. v2'de eklenen 3 görev bilinçli ve gerekçeli tek istisnadır.</t>
        </is>
      </c>
    </row>
    <row r="13" ht="67" customHeight="1">
      <c r="A13" s="26" t="inlineStr">
        <is>
          <t>Zaman tahminlerinin sapması</t>
        </is>
      </c>
      <c r="B13" s="25" t="inlineStr">
        <is>
          <t>Orta</t>
        </is>
      </c>
      <c r="C13" s="25" t="inlineStr">
        <is>
          <t>Orta</t>
        </is>
      </c>
      <c r="D13" s="26" t="inlineStr">
        <is>
          <t>Herhangi bir haftanın sonunda tamamlanan saat, planlananın %80'inin altındaysa.</t>
        </is>
      </c>
      <c r="E13" s="26" t="inlineStr">
        <is>
          <t>Plan 166.5 saat, kapasite 160 saat (6.5 saat fazla). Esnetme payı sırasıyla: W4-T07 (SKT bildirimi, Düşük, 2 saat), W4-T17 (tampon, 2 saat), W3-T16 (algoritma ölçümü, Orta, 2 saat). Gerekirse chatbot arayüzü sadeleştirilir; algoritma ve API korunur.</t>
        </is>
      </c>
    </row>
    <row r="14" ht="41.8" customHeight="1">
      <c r="A14" s="24" t="inlineStr">
        <is>
          <t>SQLite foreign key zorlamasının kapalı olması</t>
        </is>
      </c>
      <c r="B14" s="23" t="inlineStr">
        <is>
          <t>Orta</t>
        </is>
      </c>
      <c r="C14" s="23" t="inlineStr">
        <is>
          <t>Yüksek</t>
        </is>
      </c>
      <c r="D14" s="24" t="inlineStr">
        <is>
          <t>Kullanıcı silindiğinde ilişkili kayıtlar duruyorsa.</t>
        </is>
      </c>
      <c r="E14" s="24" t="inlineStr">
        <is>
          <t>W1-T05'te PRAGMA foreign_keys=ON event listener'ı ekleniyor ve W4-T12A'da test ile doğrulanıyor. Bu yapılmazsa KVKK veri imha yükümlülüğü karşılanamaz.</t>
        </is>
      </c>
    </row>
    <row r="15" ht="41.8" customHeight="1">
      <c r="A15" s="26" t="inlineStr">
        <is>
          <t>KVKK / gizlilik yükümlülükleri</t>
        </is>
      </c>
      <c r="B15" s="25" t="inlineStr">
        <is>
          <t>Orta</t>
        </is>
      </c>
      <c r="C15" s="25" t="inlineStr">
        <is>
          <t>Orta</t>
        </is>
      </c>
      <c r="D15" s="26" t="inlineStr">
        <is>
          <t>Sunum veya yayın öncesi aydınlatma metni ve veri silme sorulduğunda.</t>
        </is>
      </c>
      <c r="E15" s="26" t="inlineStr">
        <is>
          <t>W4-T12A: GET /me/export ve DELETE /me uçları yazılıyor; onboarding'de aydınlatma metni ve rıza kutusu var. Sağlık verisi özel nitelikli kişisel veri kategorisindedir.</t>
        </is>
      </c>
    </row>
    <row r="16" ht="41.8" customHeight="1">
      <c r="A16" s="24" t="inlineStr">
        <is>
          <t>Telif hakkı (tarif içerikleri)</t>
        </is>
      </c>
      <c r="B16" s="23" t="inlineStr">
        <is>
          <t>Orta</t>
        </is>
      </c>
      <c r="C16" s="23" t="inlineStr">
        <is>
          <t>Yüksek</t>
        </is>
      </c>
      <c r="D16" s="24" t="inlineStr">
        <is>
          <t>Tarif metinleri birebir başka bir siteden alınmışsa.</t>
        </is>
      </c>
      <c r="E16" s="24" t="inlineStr">
        <is>
          <t>Yalnızca telifsiz/açık lisanslı kaynaklar; malzeme listesi veriden alınıp yapılış adımları yeniden yazılıyor. Kaynak ve lisans bilgisi Veri Kaynakları sayfasında kayıt altında.</t>
        </is>
      </c>
    </row>
    <row r="17" ht="41.8" customHeight="1">
      <c r="A17" s="26" t="inlineStr">
        <is>
          <t>Staj sunumunda demo çökmesi</t>
        </is>
      </c>
      <c r="B17" s="25" t="inlineStr">
        <is>
          <t>Düşük</t>
        </is>
      </c>
      <c r="C17" s="25" t="inlineStr">
        <is>
          <t>Yüksek</t>
        </is>
      </c>
      <c r="D17" s="26" t="inlineStr">
        <is>
          <t>Sunum provasında internet veya API bağımlı bir adım takılıyorsa.</t>
        </is>
      </c>
      <c r="E17" s="26" t="inlineStr">
        <is>
          <t>W4-T16'da önceden kaydedilmiş demo videosu hazır tutuluyor; ayrıca çevrimdışı seed veriyle çalışan bir 'demo modu' bayrağı ve FakeBarcodeScanner mevcut.</t>
        </is>
      </c>
    </row>
  </sheetData>
  <autoFilter ref="A3:E17"/>
  <mergeCells count="2">
    <mergeCell ref="A2:E2"/>
    <mergeCell ref="A1:E1"/>
  </mergeCells>
  <conditionalFormatting sqref="B4:B17">
    <cfRule type="cellIs" priority="1" operator="equal" dxfId="0">
      <formula>"Yüksek"</formula>
    </cfRule>
    <cfRule type="cellIs" priority="2" operator="equal" dxfId="1">
      <formula>"Orta"</formula>
    </cfRule>
    <cfRule type="cellIs" priority="3" operator="equal" dxfId="2">
      <formula>"Düşük"</formula>
    </cfRule>
  </conditionalFormatting>
  <conditionalFormatting sqref="C4:C17">
    <cfRule type="cellIs" priority="4" operator="equal" dxfId="0">
      <formula>"Yüksek"</formula>
    </cfRule>
    <cfRule type="cellIs" priority="5" operator="equal" dxfId="1">
      <formula>"Orta"</formula>
    </cfRule>
    <cfRule type="cellIs" priority="6" operator="equal" dxfId="2">
      <formula>"Düşük"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2026-08-03T14:08:16Z</dcterms:created>
  <dcterms:modified xsi:type="dcterms:W3CDTF">2026-08-03T14:08:16Z</dcterms:modified>
</cp:coreProperties>
</file>